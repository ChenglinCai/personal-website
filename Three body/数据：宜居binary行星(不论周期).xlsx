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nglincharliecai/Desktop/"/>
    </mc:Choice>
  </mc:AlternateContent>
  <xr:revisionPtr revIDLastSave="0" documentId="13_ncr:1_{22F2CFF4-7D8A-4F48-BCD0-D694037E6A37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全部" sheetId="1" r:id="rId1"/>
    <sheet name="周期一年以内有数据行星的温度" sheetId="4" r:id="rId2"/>
    <sheet name="Sheet1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5" l="1"/>
  <c r="E5" i="5"/>
  <c r="R4" i="5"/>
  <c r="E4" i="5"/>
  <c r="R3" i="5"/>
  <c r="E3" i="5"/>
  <c r="E2" i="5"/>
  <c r="R2" i="5"/>
  <c r="E6" i="4"/>
  <c r="R33" i="4"/>
  <c r="R34" i="4"/>
  <c r="R35" i="4"/>
  <c r="R36" i="4"/>
  <c r="E36" i="4"/>
  <c r="R28" i="4"/>
  <c r="R29" i="4"/>
  <c r="R30" i="4"/>
  <c r="R31" i="4"/>
  <c r="R32" i="4"/>
  <c r="E32" i="4"/>
  <c r="R27" i="4"/>
  <c r="E27" i="4"/>
  <c r="E26" i="4"/>
  <c r="R23" i="4"/>
  <c r="R24" i="4"/>
  <c r="R25" i="4"/>
  <c r="R26" i="4"/>
  <c r="E25" i="4"/>
  <c r="R19" i="4"/>
  <c r="R20" i="4"/>
  <c r="R21" i="4"/>
  <c r="R22" i="4"/>
  <c r="E24" i="4"/>
  <c r="E23" i="4"/>
  <c r="E22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3" i="4"/>
  <c r="R4" i="4"/>
  <c r="R2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5" i="4"/>
  <c r="E34" i="4"/>
  <c r="E33" i="4"/>
  <c r="E31" i="4"/>
  <c r="E30" i="4"/>
  <c r="E29" i="4"/>
  <c r="E28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5" i="4"/>
  <c r="E4" i="4"/>
  <c r="E3" i="4"/>
  <c r="E2" i="4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2" i="1"/>
</calcChain>
</file>

<file path=xl/sharedStrings.xml><?xml version="1.0" encoding="utf-8"?>
<sst xmlns="http://schemas.openxmlformats.org/spreadsheetml/2006/main" count="1805" uniqueCount="669">
  <si>
    <t>Source</t>
  </si>
  <si>
    <t>1</t>
  </si>
  <si>
    <t>HD 42936 b</t>
  </si>
  <si>
    <t>1.22</t>
  </si>
  <si>
    <t>0.2</t>
  </si>
  <si>
    <t>0.0081</t>
  </si>
  <si>
    <t>0.0662</t>
  </si>
  <si>
    <t>6.6732</t>
  </si>
  <si>
    <t>0.14</t>
  </si>
  <si>
    <t>2</t>
  </si>
  <si>
    <t>HD 87646 b</t>
  </si>
  <si>
    <t>1.58</t>
  </si>
  <si>
    <t>12.4</t>
  </si>
  <si>
    <t>0.117</t>
  </si>
  <si>
    <t>13.481</t>
  </si>
  <si>
    <t>0.05</t>
  </si>
  <si>
    <t>3</t>
  </si>
  <si>
    <t>HD 59686 A b</t>
  </si>
  <si>
    <t>13.56</t>
  </si>
  <si>
    <t>6.92</t>
  </si>
  <si>
    <t>1.086</t>
  </si>
  <si>
    <t>299.36</t>
  </si>
  <si>
    <t>4</t>
  </si>
  <si>
    <t>HD 7449 b</t>
  </si>
  <si>
    <t>18</t>
  </si>
  <si>
    <t>1.09</t>
  </si>
  <si>
    <t>2.33</t>
  </si>
  <si>
    <t>1270.5</t>
  </si>
  <si>
    <t>0.92</t>
  </si>
  <si>
    <t>5</t>
  </si>
  <si>
    <t>gamma Cephei b</t>
  </si>
  <si>
    <t>19</t>
  </si>
  <si>
    <t>3.7</t>
  </si>
  <si>
    <t>1.85</t>
  </si>
  <si>
    <t>2.05</t>
  </si>
  <si>
    <t>903.3</t>
  </si>
  <si>
    <t>0.049</t>
  </si>
  <si>
    <t>6</t>
  </si>
  <si>
    <t>HD 4113 Ab</t>
  </si>
  <si>
    <t>23.7</t>
  </si>
  <si>
    <t>4.6</t>
  </si>
  <si>
    <t>1.56</t>
  </si>
  <si>
    <t>1.28</t>
  </si>
  <si>
    <t>526.62</t>
  </si>
  <si>
    <t>0.903</t>
  </si>
  <si>
    <t>7</t>
  </si>
  <si>
    <t>HD 41004 Ab</t>
  </si>
  <si>
    <t>26.48</t>
  </si>
  <si>
    <t>2.54</t>
  </si>
  <si>
    <t>1.64</t>
  </si>
  <si>
    <t>963</t>
  </si>
  <si>
    <t>0.39</t>
  </si>
  <si>
    <t>8</t>
  </si>
  <si>
    <t>HD 41004 Bb</t>
  </si>
  <si>
    <t>18.4</t>
  </si>
  <si>
    <t>0.0177</t>
  </si>
  <si>
    <t>1.3236</t>
  </si>
  <si>
    <t>0.058</t>
  </si>
  <si>
    <t>9</t>
  </si>
  <si>
    <t>30 Ari b</t>
  </si>
  <si>
    <t>27.6</t>
  </si>
  <si>
    <t>13.82</t>
  </si>
  <si>
    <t>0.99</t>
  </si>
  <si>
    <t>335.1</t>
  </si>
  <si>
    <t>0.29</t>
  </si>
  <si>
    <t>10</t>
  </si>
  <si>
    <t>GJ 86 b</t>
  </si>
  <si>
    <t>27.8</t>
  </si>
  <si>
    <t>4.01</t>
  </si>
  <si>
    <t>0.11</t>
  </si>
  <si>
    <t>15.766</t>
  </si>
  <si>
    <t>0.046</t>
  </si>
  <si>
    <t>11</t>
  </si>
  <si>
    <t>HD 196885 b</t>
  </si>
  <si>
    <t>29</t>
  </si>
  <si>
    <t>2.98</t>
  </si>
  <si>
    <t>1326</t>
  </si>
  <si>
    <t>0.48</t>
  </si>
  <si>
    <t>12</t>
  </si>
  <si>
    <t>HD 2638 b</t>
  </si>
  <si>
    <t>32.2816</t>
  </si>
  <si>
    <t>6.8</t>
  </si>
  <si>
    <t>0.044</t>
  </si>
  <si>
    <t>3.438</t>
  </si>
  <si>
    <t>0.041</t>
  </si>
  <si>
    <t>13</t>
  </si>
  <si>
    <t>HD 8673 b</t>
  </si>
  <si>
    <t>35</t>
  </si>
  <si>
    <t>5.4</t>
  </si>
  <si>
    <t>14.2</t>
  </si>
  <si>
    <t>3.02</t>
  </si>
  <si>
    <t>1634</t>
  </si>
  <si>
    <t>0.723</t>
  </si>
  <si>
    <t>14</t>
  </si>
  <si>
    <t>HD 126614 b</t>
  </si>
  <si>
    <t>45.6482</t>
  </si>
  <si>
    <t>0.38</t>
  </si>
  <si>
    <t>2.35</t>
  </si>
  <si>
    <t>1244</t>
  </si>
  <si>
    <t>0.41</t>
  </si>
  <si>
    <t>15</t>
  </si>
  <si>
    <t>HD 164509 b</t>
  </si>
  <si>
    <t>46.0265</t>
  </si>
  <si>
    <t>0.875</t>
  </si>
  <si>
    <t>282.4</t>
  </si>
  <si>
    <t>0.26</t>
  </si>
  <si>
    <t>16</t>
  </si>
  <si>
    <t>GJ 3021 b</t>
  </si>
  <si>
    <t>85.747</t>
  </si>
  <si>
    <t>3.37</t>
  </si>
  <si>
    <t>0.49</t>
  </si>
  <si>
    <t>133.71</t>
  </si>
  <si>
    <t>0.511</t>
  </si>
  <si>
    <t>17</t>
  </si>
  <si>
    <t>Gliese 15b</t>
  </si>
  <si>
    <t>93</t>
  </si>
  <si>
    <t>0.017</t>
  </si>
  <si>
    <t>0.072</t>
  </si>
  <si>
    <t>11.44</t>
  </si>
  <si>
    <t>0.27</t>
  </si>
  <si>
    <t>Gliese 15 c</t>
  </si>
  <si>
    <t>0.114</t>
  </si>
  <si>
    <t>7391</t>
  </si>
  <si>
    <t>HD 30856 b</t>
  </si>
  <si>
    <t>117.273</t>
  </si>
  <si>
    <t>1.8</t>
  </si>
  <si>
    <t>912</t>
  </si>
  <si>
    <t>0.24</t>
  </si>
  <si>
    <t>20</t>
  </si>
  <si>
    <t>HD 177830 b</t>
  </si>
  <si>
    <t>123.57</t>
  </si>
  <si>
    <t>1.49</t>
  </si>
  <si>
    <t>1.2218</t>
  </si>
  <si>
    <t>406.6</t>
  </si>
  <si>
    <t>0.001</t>
  </si>
  <si>
    <t>21</t>
  </si>
  <si>
    <t>HD 177830c</t>
  </si>
  <si>
    <t>0.15</t>
  </si>
  <si>
    <t>0.5137</t>
  </si>
  <si>
    <t>110.9</t>
  </si>
  <si>
    <t>0.35</t>
  </si>
  <si>
    <t>22</t>
  </si>
  <si>
    <t>HD 142 b</t>
  </si>
  <si>
    <t>132.405</t>
  </si>
  <si>
    <t>1.25</t>
  </si>
  <si>
    <t>1.02</t>
  </si>
  <si>
    <t>349.7</t>
  </si>
  <si>
    <t>0.17</t>
  </si>
  <si>
    <t>23</t>
  </si>
  <si>
    <t>HD 142 c</t>
  </si>
  <si>
    <t>5.3</t>
  </si>
  <si>
    <t>6005</t>
  </si>
  <si>
    <t>0.21</t>
  </si>
  <si>
    <t>24</t>
  </si>
  <si>
    <t>HD 79211</t>
  </si>
  <si>
    <t>136.86894</t>
  </si>
  <si>
    <t>0.3231</t>
  </si>
  <si>
    <t>0.141</t>
  </si>
  <si>
    <t>24.45</t>
  </si>
  <si>
    <t>25</t>
  </si>
  <si>
    <t>HD 207832 b</t>
  </si>
  <si>
    <t>142.493</t>
  </si>
  <si>
    <t>0.56</t>
  </si>
  <si>
    <t>0.586</t>
  </si>
  <si>
    <t>160.07</t>
  </si>
  <si>
    <t>0.197</t>
  </si>
  <si>
    <t>26</t>
  </si>
  <si>
    <t>HD 207832c</t>
  </si>
  <si>
    <t>0.73</t>
  </si>
  <si>
    <t>2.112</t>
  </si>
  <si>
    <t>1155.7</t>
  </si>
  <si>
    <t>27</t>
  </si>
  <si>
    <t>HD 197037A b</t>
  </si>
  <si>
    <t>150.059</t>
  </si>
  <si>
    <t>0.79</t>
  </si>
  <si>
    <t>2.07</t>
  </si>
  <si>
    <t>1035.7</t>
  </si>
  <si>
    <t>0.22</t>
  </si>
  <si>
    <t>28</t>
  </si>
  <si>
    <t>HD 195019b</t>
  </si>
  <si>
    <t>165.19</t>
  </si>
  <si>
    <t>0.1388</t>
  </si>
  <si>
    <t>18.2016</t>
  </si>
  <si>
    <t>0.014</t>
  </si>
  <si>
    <t>HD 114762 b</t>
  </si>
  <si>
    <t>166.452</t>
  </si>
  <si>
    <t>10.98</t>
  </si>
  <si>
    <t>0.353</t>
  </si>
  <si>
    <t>83.9151</t>
  </si>
  <si>
    <t>0.3354</t>
  </si>
  <si>
    <t>30</t>
  </si>
  <si>
    <t>HD 217786 b</t>
  </si>
  <si>
    <t>197.97</t>
  </si>
  <si>
    <t>2.38</t>
  </si>
  <si>
    <t>1319</t>
  </si>
  <si>
    <t>0.4</t>
  </si>
  <si>
    <t>31</t>
  </si>
  <si>
    <t>199.23</t>
  </si>
  <si>
    <t>1.864</t>
  </si>
  <si>
    <t>968.8</t>
  </si>
  <si>
    <t>0.226</t>
  </si>
  <si>
    <t>32</t>
  </si>
  <si>
    <t>HD 116029 b</t>
  </si>
  <si>
    <t>215.63</t>
  </si>
  <si>
    <t>2.1</t>
  </si>
  <si>
    <t>1.73</t>
  </si>
  <si>
    <t>670.2</t>
  </si>
  <si>
    <t>33</t>
  </si>
  <si>
    <t>HD 116029c</t>
  </si>
  <si>
    <t>1.27</t>
  </si>
  <si>
    <t>2.144</t>
  </si>
  <si>
    <t>907</t>
  </si>
  <si>
    <t>0.038</t>
  </si>
  <si>
    <t>34</t>
  </si>
  <si>
    <t>HD 19994 b</t>
  </si>
  <si>
    <t>220</t>
  </si>
  <si>
    <t>1.68</t>
  </si>
  <si>
    <t>1.42</t>
  </si>
  <si>
    <t>535.7</t>
  </si>
  <si>
    <t>0.3</t>
  </si>
  <si>
    <t>tau Bootis b</t>
  </si>
  <si>
    <t>221</t>
  </si>
  <si>
    <t>4.13</t>
  </si>
  <si>
    <t>3.3135</t>
  </si>
  <si>
    <t>0.0787</t>
  </si>
  <si>
    <t>36</t>
  </si>
  <si>
    <t>HD 212301 b</t>
  </si>
  <si>
    <t>238</t>
  </si>
  <si>
    <t>0.036</t>
  </si>
  <si>
    <t>2.2457</t>
  </si>
  <si>
    <t>0.0147</t>
  </si>
  <si>
    <t>37</t>
  </si>
  <si>
    <t>HD 142245A b</t>
  </si>
  <si>
    <t>244</t>
  </si>
  <si>
    <t>1.9</t>
  </si>
  <si>
    <t>2.77</t>
  </si>
  <si>
    <t>1299</t>
  </si>
  <si>
    <t>0.32</t>
  </si>
  <si>
    <t>38</t>
  </si>
  <si>
    <t>HD 65216 b</t>
  </si>
  <si>
    <t>256.8</t>
  </si>
  <si>
    <t>1.21</t>
  </si>
  <si>
    <t>1.37</t>
  </si>
  <si>
    <t>613.1</t>
  </si>
  <si>
    <t>39</t>
  </si>
  <si>
    <t>HD 185269A b</t>
  </si>
  <si>
    <t>271.11</t>
  </si>
  <si>
    <t>0.94</t>
  </si>
  <si>
    <t>0.077</t>
  </si>
  <si>
    <t>6.838</t>
  </si>
  <si>
    <t>40</t>
  </si>
  <si>
    <t>HD 16141 b</t>
  </si>
  <si>
    <t>281.203</t>
  </si>
  <si>
    <t>0.215</t>
  </si>
  <si>
    <t>75.82</t>
  </si>
  <si>
    <t>0.28</t>
  </si>
  <si>
    <t>41</t>
  </si>
  <si>
    <t>Gliese 667 b</t>
  </si>
  <si>
    <t>300</t>
  </si>
  <si>
    <t>0.0176</t>
  </si>
  <si>
    <t>0.0505</t>
  </si>
  <si>
    <t>7.2</t>
  </si>
  <si>
    <t>0.13</t>
  </si>
  <si>
    <t>42</t>
  </si>
  <si>
    <t>Gliese 667 c</t>
  </si>
  <si>
    <t>0.0119</t>
  </si>
  <si>
    <t>0.125</t>
  </si>
  <si>
    <t>28.14</t>
  </si>
  <si>
    <t>0.02</t>
  </si>
  <si>
    <t>43</t>
  </si>
  <si>
    <t>Gliese 667 d</t>
  </si>
  <si>
    <t>0.016</t>
  </si>
  <si>
    <t>0.276</t>
  </si>
  <si>
    <t>91.61</t>
  </si>
  <si>
    <t>0.03</t>
  </si>
  <si>
    <t>44</t>
  </si>
  <si>
    <t>Gliese 667 e</t>
  </si>
  <si>
    <t>0.0085</t>
  </si>
  <si>
    <t>0.213</t>
  </si>
  <si>
    <t>62.24</t>
  </si>
  <si>
    <t>45</t>
  </si>
  <si>
    <t>Gliese 667 f</t>
  </si>
  <si>
    <t>0.156</t>
  </si>
  <si>
    <t>39.03</t>
  </si>
  <si>
    <t>46</t>
  </si>
  <si>
    <t>Gliese 667 g</t>
  </si>
  <si>
    <t>0.0145</t>
  </si>
  <si>
    <t>0.549</t>
  </si>
  <si>
    <t>256.2</t>
  </si>
  <si>
    <t>0.08</t>
  </si>
  <si>
    <t>47</t>
  </si>
  <si>
    <t>HD 27442 b</t>
  </si>
  <si>
    <t>302.64</t>
  </si>
  <si>
    <t>1.35</t>
  </si>
  <si>
    <t>1.16</t>
  </si>
  <si>
    <t>415.2</t>
  </si>
  <si>
    <t>48</t>
  </si>
  <si>
    <t>HD 28254A b</t>
  </si>
  <si>
    <t>2.15</t>
  </si>
  <si>
    <t>1116</t>
  </si>
  <si>
    <t>0.81</t>
  </si>
  <si>
    <t>49</t>
  </si>
  <si>
    <t>HD 106515 b</t>
  </si>
  <si>
    <t>345</t>
  </si>
  <si>
    <t>9.61</t>
  </si>
  <si>
    <t>4.59</t>
  </si>
  <si>
    <t>3630</t>
  </si>
  <si>
    <t>0.572</t>
  </si>
  <si>
    <t>50</t>
  </si>
  <si>
    <t>HD 86081A b</t>
  </si>
  <si>
    <t>348</t>
  </si>
  <si>
    <t>1.5</t>
  </si>
  <si>
    <t>0.039</t>
  </si>
  <si>
    <t>1.99809</t>
  </si>
  <si>
    <t>0.0575</t>
  </si>
  <si>
    <t>51</t>
  </si>
  <si>
    <t>HD 114729 b</t>
  </si>
  <si>
    <t>355.602</t>
  </si>
  <si>
    <t>0.84</t>
  </si>
  <si>
    <t>2.08</t>
  </si>
  <si>
    <t>1135</t>
  </si>
  <si>
    <t>52</t>
  </si>
  <si>
    <t>HD 133131 Ab</t>
  </si>
  <si>
    <t>379.22</t>
  </si>
  <si>
    <t>1.43</t>
  </si>
  <si>
    <t>1.44</t>
  </si>
  <si>
    <t>649</t>
  </si>
  <si>
    <t>53</t>
  </si>
  <si>
    <t>HD 133131 Ac</t>
  </si>
  <si>
    <t>4.36</t>
  </si>
  <si>
    <t>3407</t>
  </si>
  <si>
    <t>0.47</t>
  </si>
  <si>
    <t>54</t>
  </si>
  <si>
    <t>HD 133131 Bb</t>
  </si>
  <si>
    <t>2.5</t>
  </si>
  <si>
    <t>6.415</t>
  </si>
  <si>
    <t>6119</t>
  </si>
  <si>
    <t>0.62</t>
  </si>
  <si>
    <t>55</t>
  </si>
  <si>
    <t>HD 108341 b</t>
  </si>
  <si>
    <t>383</t>
  </si>
  <si>
    <t>3.5</t>
  </si>
  <si>
    <t>1129</t>
  </si>
  <si>
    <t>0.85</t>
  </si>
  <si>
    <t>56</t>
  </si>
  <si>
    <t>HD 102365 b</t>
  </si>
  <si>
    <t>406.042</t>
  </si>
  <si>
    <t>0.46</t>
  </si>
  <si>
    <t>122.1</t>
  </si>
  <si>
    <t>0.34</t>
  </si>
  <si>
    <t>57</t>
  </si>
  <si>
    <t>HD 220842A b</t>
  </si>
  <si>
    <t>428.739</t>
  </si>
  <si>
    <t>3.18</t>
  </si>
  <si>
    <t>0.74</t>
  </si>
  <si>
    <t>218.47</t>
  </si>
  <si>
    <t>0.404</t>
  </si>
  <si>
    <t>58</t>
  </si>
  <si>
    <t>HD 132563 b</t>
  </si>
  <si>
    <t>430.75</t>
  </si>
  <si>
    <t>2.62</t>
  </si>
  <si>
    <t>1544</t>
  </si>
  <si>
    <t>59</t>
  </si>
  <si>
    <t>HD 46375 b</t>
  </si>
  <si>
    <t>435</t>
  </si>
  <si>
    <t>0.249</t>
  </si>
  <si>
    <t>3.024</t>
  </si>
  <si>
    <t>0.0524</t>
  </si>
  <si>
    <t>60</t>
  </si>
  <si>
    <t>HD 43691 b</t>
  </si>
  <si>
    <t>452.69</t>
  </si>
  <si>
    <t>2.57</t>
  </si>
  <si>
    <t>0.238</t>
  </si>
  <si>
    <t>36.99913</t>
  </si>
  <si>
    <t>0.085</t>
  </si>
  <si>
    <t>61</t>
  </si>
  <si>
    <t>omi UMaA b</t>
  </si>
  <si>
    <t>518.271</t>
  </si>
  <si>
    <t>4.1</t>
  </si>
  <si>
    <t>3.9</t>
  </si>
  <si>
    <t>1630</t>
  </si>
  <si>
    <t>0.191</t>
  </si>
  <si>
    <t>62</t>
  </si>
  <si>
    <t>HD 180617 b</t>
  </si>
  <si>
    <t>560.6406</t>
  </si>
  <si>
    <t>0.0384</t>
  </si>
  <si>
    <t>0.3357</t>
  </si>
  <si>
    <t>105.9</t>
  </si>
  <si>
    <t>0.16</t>
  </si>
  <si>
    <t>63</t>
  </si>
  <si>
    <t>HD 4732c</t>
  </si>
  <si>
    <t>605.9105</t>
  </si>
  <si>
    <t>120.8</t>
  </si>
  <si>
    <t>2.37</t>
  </si>
  <si>
    <t>2732</t>
  </si>
  <si>
    <t>0.23</t>
  </si>
  <si>
    <t>64</t>
  </si>
  <si>
    <t>HD 4732 b</t>
  </si>
  <si>
    <t>1.19</t>
  </si>
  <si>
    <t>360.2</t>
  </si>
  <si>
    <t>65</t>
  </si>
  <si>
    <t>HD 109749 b</t>
  </si>
  <si>
    <t>618.5205</t>
  </si>
  <si>
    <t>0.0635</t>
  </si>
  <si>
    <t>5.24</t>
  </si>
  <si>
    <t>0.01</t>
  </si>
  <si>
    <t>66</t>
  </si>
  <si>
    <t>HD 196050 b</t>
  </si>
  <si>
    <t>631.761</t>
  </si>
  <si>
    <t>2.83</t>
  </si>
  <si>
    <t>2.47</t>
  </si>
  <si>
    <t>1316.24</t>
  </si>
  <si>
    <t>67</t>
  </si>
  <si>
    <t>HD 178911 b</t>
  </si>
  <si>
    <t>640</t>
  </si>
  <si>
    <t>6.29</t>
  </si>
  <si>
    <t>71.49</t>
  </si>
  <si>
    <t>0.124</t>
  </si>
  <si>
    <t>68</t>
  </si>
  <si>
    <t>HD 96167 b</t>
  </si>
  <si>
    <t>645.632</t>
  </si>
  <si>
    <t>0.68</t>
  </si>
  <si>
    <t>1.3</t>
  </si>
  <si>
    <t>498.9</t>
  </si>
  <si>
    <t>0.71</t>
  </si>
  <si>
    <t>69</t>
  </si>
  <si>
    <t>HD 99492 b</t>
  </si>
  <si>
    <t>649.415</t>
  </si>
  <si>
    <t>0.087</t>
  </si>
  <si>
    <t>0.122</t>
  </si>
  <si>
    <t>17.1668</t>
  </si>
  <si>
    <t>70</t>
  </si>
  <si>
    <t>HD 99492c</t>
  </si>
  <si>
    <t>0.359</t>
  </si>
  <si>
    <t>13.1</t>
  </si>
  <si>
    <t>0.1</t>
  </si>
  <si>
    <t>72</t>
  </si>
  <si>
    <t>Ups And c</t>
  </si>
  <si>
    <t>750</t>
  </si>
  <si>
    <t>0.861</t>
  </si>
  <si>
    <t>237.7</t>
  </si>
  <si>
    <t>73</t>
  </si>
  <si>
    <t>Ups And d</t>
  </si>
  <si>
    <t>10.19</t>
  </si>
  <si>
    <t>2.55</t>
  </si>
  <si>
    <t>1302.61</t>
  </si>
  <si>
    <t>0.274</t>
  </si>
  <si>
    <t>74</t>
  </si>
  <si>
    <t>Ups And e</t>
  </si>
  <si>
    <t>1.059</t>
  </si>
  <si>
    <t>5.2456</t>
  </si>
  <si>
    <t>3848.86</t>
  </si>
  <si>
    <t>0.005</t>
  </si>
  <si>
    <t>75</t>
  </si>
  <si>
    <t>HD 75289 b</t>
  </si>
  <si>
    <t>781.819</t>
  </si>
  <si>
    <t>3.5098</t>
  </si>
  <si>
    <t>0.021</t>
  </si>
  <si>
    <t>76</t>
  </si>
  <si>
    <t>HD 188015 b</t>
  </si>
  <si>
    <t>862</t>
  </si>
  <si>
    <t>1.26</t>
  </si>
  <si>
    <t>456.46</t>
  </si>
  <si>
    <t>77</t>
  </si>
  <si>
    <t>HD 147379 b</t>
  </si>
  <si>
    <t>869.4</t>
  </si>
  <si>
    <t>0.0777</t>
  </si>
  <si>
    <t>0.3193</t>
  </si>
  <si>
    <t>86.54</t>
  </si>
  <si>
    <t>78</t>
  </si>
  <si>
    <t>GJ 676 b</t>
  </si>
  <si>
    <t>1010</t>
  </si>
  <si>
    <t>4.95</t>
  </si>
  <si>
    <t>1050.3</t>
  </si>
  <si>
    <t>0.328</t>
  </si>
  <si>
    <t>79</t>
  </si>
  <si>
    <t>GJ 676 c</t>
  </si>
  <si>
    <t>5.2</t>
  </si>
  <si>
    <t>4400</t>
  </si>
  <si>
    <t>80</t>
  </si>
  <si>
    <t>GJ 676 d</t>
  </si>
  <si>
    <t>0.0413</t>
  </si>
  <si>
    <t>3.6</t>
  </si>
  <si>
    <t>81</t>
  </si>
  <si>
    <t>GJ 676 e</t>
  </si>
  <si>
    <t>0.187</t>
  </si>
  <si>
    <t>35.37</t>
  </si>
  <si>
    <t>82</t>
  </si>
  <si>
    <t>HD 142022 b</t>
  </si>
  <si>
    <t>1030</t>
  </si>
  <si>
    <t>5.1</t>
  </si>
  <si>
    <t>3.03</t>
  </si>
  <si>
    <t>1928</t>
  </si>
  <si>
    <t>0.53</t>
  </si>
  <si>
    <t>83</t>
  </si>
  <si>
    <t>55 Cnc b</t>
  </si>
  <si>
    <t>1065</t>
  </si>
  <si>
    <t>0.8</t>
  </si>
  <si>
    <t>0.1134</t>
  </si>
  <si>
    <t>14.651</t>
  </si>
  <si>
    <t>84</t>
  </si>
  <si>
    <t>55 Cnc c</t>
  </si>
  <si>
    <t>0.169</t>
  </si>
  <si>
    <t>0.2403</t>
  </si>
  <si>
    <t>44.3446</t>
  </si>
  <si>
    <t>0.053</t>
  </si>
  <si>
    <t>85</t>
  </si>
  <si>
    <t>55 Cnc d</t>
  </si>
  <si>
    <t>3.835</t>
  </si>
  <si>
    <t>5.76</t>
  </si>
  <si>
    <t>5218</t>
  </si>
  <si>
    <t>0.025</t>
  </si>
  <si>
    <t>86</t>
  </si>
  <si>
    <t>55 Cnc f</t>
  </si>
  <si>
    <t>0.144</t>
  </si>
  <si>
    <t>0.781</t>
  </si>
  <si>
    <t>260.7</t>
  </si>
  <si>
    <t>0</t>
  </si>
  <si>
    <t>87</t>
  </si>
  <si>
    <t>16 Cyg b</t>
  </si>
  <si>
    <t>1080</t>
  </si>
  <si>
    <t>799.5</t>
  </si>
  <si>
    <t>0.689</t>
  </si>
  <si>
    <t>88</t>
  </si>
  <si>
    <t>HD 11964 b</t>
  </si>
  <si>
    <t>1272.6</t>
  </si>
  <si>
    <t>0.622</t>
  </si>
  <si>
    <t>3.16</t>
  </si>
  <si>
    <t>1945</t>
  </si>
  <si>
    <t>89</t>
  </si>
  <si>
    <t>HD 11964c</t>
  </si>
  <si>
    <t>0.079</t>
  </si>
  <si>
    <t>0.229</t>
  </si>
  <si>
    <t>37.91</t>
  </si>
  <si>
    <t>90</t>
  </si>
  <si>
    <t>HD 101930 b</t>
  </si>
  <si>
    <t>2772</t>
  </si>
  <si>
    <t>0.302</t>
  </si>
  <si>
    <t>70.46</t>
  </si>
  <si>
    <t>91</t>
  </si>
  <si>
    <t>91 Aqr b</t>
  </si>
  <si>
    <t>2835</t>
  </si>
  <si>
    <t>3.2</t>
  </si>
  <si>
    <t>0.7</t>
  </si>
  <si>
    <t>181.4</t>
  </si>
  <si>
    <t>92</t>
  </si>
  <si>
    <t>HD 89744 b</t>
  </si>
  <si>
    <t>3100</t>
  </si>
  <si>
    <t>0.88</t>
  </si>
  <si>
    <t>256</t>
  </si>
  <si>
    <t>HD 89744c</t>
  </si>
  <si>
    <t>0.44</t>
  </si>
  <si>
    <t>85.2</t>
  </si>
  <si>
    <t>94</t>
  </si>
  <si>
    <t>HD 190360 b</t>
  </si>
  <si>
    <t>3585.96</t>
  </si>
  <si>
    <t>1.502</t>
  </si>
  <si>
    <t>3.92</t>
  </si>
  <si>
    <t>2891</t>
  </si>
  <si>
    <t>0.36</t>
  </si>
  <si>
    <t>95</t>
  </si>
  <si>
    <t>HD 190360c</t>
  </si>
  <si>
    <t>0.057</t>
  </si>
  <si>
    <t>0.128</t>
  </si>
  <si>
    <t>17.1</t>
  </si>
  <si>
    <t>96</t>
  </si>
  <si>
    <t>HD 213240 b</t>
  </si>
  <si>
    <t>4915.378</t>
  </si>
  <si>
    <t>4.5</t>
  </si>
  <si>
    <t>2.03</t>
  </si>
  <si>
    <t>951</t>
  </si>
  <si>
    <t>0.45</t>
  </si>
  <si>
    <t>97</t>
  </si>
  <si>
    <t>XO-2S b</t>
  </si>
  <si>
    <t>5796</t>
  </si>
  <si>
    <t>0.259</t>
  </si>
  <si>
    <t>0.1344</t>
  </si>
  <si>
    <t>18.157</t>
  </si>
  <si>
    <t>0.18</t>
  </si>
  <si>
    <t>98</t>
  </si>
  <si>
    <t>XO-2S c</t>
  </si>
  <si>
    <t>0.4756</t>
  </si>
  <si>
    <t>0.153</t>
  </si>
  <si>
    <t>99</t>
  </si>
  <si>
    <t>HD 222582 b</t>
  </si>
  <si>
    <t>5990</t>
  </si>
  <si>
    <t>7.75</t>
  </si>
  <si>
    <t>572.38</t>
  </si>
  <si>
    <t>0.725</t>
  </si>
  <si>
    <t>100</t>
  </si>
  <si>
    <t>HD 125612 b</t>
  </si>
  <si>
    <t>502</t>
  </si>
  <si>
    <t>101</t>
  </si>
  <si>
    <t>HD 125612c</t>
  </si>
  <si>
    <t>4.1547</t>
  </si>
  <si>
    <t>102</t>
  </si>
  <si>
    <t>HD 125612 d</t>
  </si>
  <si>
    <t>4.2</t>
  </si>
  <si>
    <t>3008</t>
  </si>
  <si>
    <t>103</t>
  </si>
  <si>
    <t>HD 147513 b</t>
  </si>
  <si>
    <t>6760</t>
  </si>
  <si>
    <t>1.32</t>
  </si>
  <si>
    <t>528.4</t>
  </si>
  <si>
    <t>104</t>
  </si>
  <si>
    <t>HD 40979 b</t>
  </si>
  <si>
    <t>8070.4</t>
  </si>
  <si>
    <t>3.28</t>
  </si>
  <si>
    <t>0.83</t>
  </si>
  <si>
    <t>263.1</t>
  </si>
  <si>
    <t>0.25</t>
  </si>
  <si>
    <t>105</t>
  </si>
  <si>
    <t>Prox Cen b</t>
  </si>
  <si>
    <t>10962</t>
  </si>
  <si>
    <t>0.003</t>
  </si>
  <si>
    <t>0.0485</t>
  </si>
  <si>
    <t>11.186</t>
  </si>
  <si>
    <t>106</t>
  </si>
  <si>
    <t>Prox Cen c</t>
  </si>
  <si>
    <t>0.0182</t>
  </si>
  <si>
    <t>1.48</t>
  </si>
  <si>
    <t>1894</t>
  </si>
  <si>
    <t>107</t>
  </si>
  <si>
    <t>11340</t>
  </si>
  <si>
    <t>10000</t>
  </si>
  <si>
    <t>0.6</t>
  </si>
  <si>
    <t>108</t>
  </si>
  <si>
    <t>HD 20782 b</t>
  </si>
  <si>
    <t>11550</t>
  </si>
  <si>
    <t>1.381</t>
  </si>
  <si>
    <t>591.9</t>
  </si>
  <si>
    <t>0.97</t>
  </si>
  <si>
    <t>109</t>
  </si>
  <si>
    <t>HD 38529c</t>
  </si>
  <si>
    <t>15184.962</t>
  </si>
  <si>
    <t>17.7</t>
  </si>
  <si>
    <t>3.695</t>
  </si>
  <si>
    <t>2134.76</t>
  </si>
  <si>
    <t>110</t>
  </si>
  <si>
    <t>HD 38529 b</t>
  </si>
  <si>
    <t>0.87</t>
  </si>
  <si>
    <t>0.131</t>
  </si>
  <si>
    <t>14.31</t>
  </si>
  <si>
    <t>编号</t>
    <phoneticPr fontId="1" type="noConversion"/>
  </si>
  <si>
    <t>行星名称</t>
    <phoneticPr fontId="1" type="noConversion"/>
  </si>
  <si>
    <t>双星半长轴（AU）</t>
    <phoneticPr fontId="1" type="noConversion"/>
  </si>
  <si>
    <t>行星数量</t>
    <phoneticPr fontId="1" type="noConversion"/>
  </si>
  <si>
    <t xml:space="preserve">Ups And b </t>
  </si>
  <si>
    <t>行星质量（Ms）</t>
    <phoneticPr fontId="1" type="noConversion"/>
  </si>
  <si>
    <t>行星质量（MJ）</t>
    <phoneticPr fontId="1" type="noConversion"/>
  </si>
  <si>
    <t>行星半长轴（AU）</t>
    <phoneticPr fontId="1" type="noConversion"/>
  </si>
  <si>
    <t>周期（天）</t>
    <phoneticPr fontId="1" type="noConversion"/>
  </si>
  <si>
    <t>行星偏心率</t>
    <phoneticPr fontId="1" type="noConversion"/>
  </si>
  <si>
    <t>恒星数量</t>
    <phoneticPr fontId="1" type="noConversion"/>
  </si>
  <si>
    <t>双星A恒星质量（Ms）</t>
    <phoneticPr fontId="1" type="noConversion"/>
  </si>
  <si>
    <t>双星B恒星质量（Ms）</t>
    <phoneticPr fontId="1" type="noConversion"/>
  </si>
  <si>
    <t>行星是属于A/B</t>
    <phoneticPr fontId="3" type="noConversion"/>
  </si>
  <si>
    <t>双星偏心率</t>
    <phoneticPr fontId="1" type="noConversion"/>
  </si>
  <si>
    <t>A</t>
    <phoneticPr fontId="3" type="noConversion"/>
  </si>
  <si>
    <t>B</t>
    <phoneticPr fontId="3" type="noConversion"/>
  </si>
  <si>
    <t>HD 177830c</t>
    <phoneticPr fontId="1" type="noConversion"/>
  </si>
  <si>
    <t>A</t>
    <phoneticPr fontId="1" type="noConversion"/>
  </si>
  <si>
    <t>B</t>
    <phoneticPr fontId="1" type="noConversion"/>
  </si>
  <si>
    <t>2S</t>
    <phoneticPr fontId="1" type="noConversion"/>
  </si>
  <si>
    <t>恒星温度(K)</t>
    <phoneticPr fontId="1" type="noConversion"/>
  </si>
  <si>
    <t>恒星半径(Rs)</t>
    <phoneticPr fontId="1" type="noConversion"/>
  </si>
  <si>
    <t>行星最高温度（K）</t>
    <phoneticPr fontId="1" type="noConversion"/>
  </si>
  <si>
    <t>HD 98736 b</t>
    <phoneticPr fontId="1" type="noConversion"/>
  </si>
  <si>
    <t>HIP 70849 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</si>
</sst>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7"/>
      <color theme="1"/>
      <name val="AdvOTf9433e2d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343A4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242424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1"/>
  <sheetViews>
    <sheetView topLeftCell="A89" zoomScale="140" workbookViewId="0">
      <selection activeCell="E102" sqref="E102"/>
    </sheetView>
  </sheetViews>
  <sheetFormatPr baseColWidth="10" defaultColWidth="8.83203125" defaultRowHeight="14"/>
  <cols>
    <col min="2" max="2" width="17.5" customWidth="1"/>
    <col min="3" max="3" width="11.5" customWidth="1"/>
    <col min="5" max="5" width="13" bestFit="1" customWidth="1"/>
    <col min="8" max="9" width="15.1640625" customWidth="1"/>
    <col min="14" max="14" width="13.6640625" customWidth="1"/>
  </cols>
  <sheetData>
    <row r="1" spans="1:15" ht="45">
      <c r="A1" s="1" t="s">
        <v>643</v>
      </c>
      <c r="B1" s="1" t="s">
        <v>644</v>
      </c>
      <c r="C1" s="1" t="s">
        <v>645</v>
      </c>
      <c r="D1" s="1" t="s">
        <v>646</v>
      </c>
      <c r="E1" s="3" t="s">
        <v>648</v>
      </c>
      <c r="F1" s="3" t="s">
        <v>649</v>
      </c>
      <c r="G1" s="1" t="s">
        <v>650</v>
      </c>
      <c r="H1" s="1" t="s">
        <v>651</v>
      </c>
      <c r="I1" s="1" t="s">
        <v>652</v>
      </c>
      <c r="J1" s="1" t="s">
        <v>0</v>
      </c>
      <c r="K1" s="1" t="s">
        <v>653</v>
      </c>
      <c r="L1" s="3" t="s">
        <v>657</v>
      </c>
      <c r="M1" s="3" t="s">
        <v>654</v>
      </c>
      <c r="N1" s="3" t="s">
        <v>655</v>
      </c>
      <c r="O1" s="4" t="s">
        <v>656</v>
      </c>
    </row>
    <row r="2" spans="1:15" ht="15">
      <c r="A2" s="1" t="s">
        <v>1</v>
      </c>
      <c r="B2" s="1" t="s">
        <v>2</v>
      </c>
      <c r="C2" s="1" t="s">
        <v>3</v>
      </c>
      <c r="D2" s="1" t="s">
        <v>1</v>
      </c>
      <c r="E2">
        <f>F2*1.8982/1000/1.989</f>
        <v>7.7302262443438912E-6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1</v>
      </c>
      <c r="K2" s="1" t="s">
        <v>9</v>
      </c>
    </row>
    <row r="3" spans="1:15" ht="15">
      <c r="A3" s="1" t="s">
        <v>9</v>
      </c>
      <c r="B3" s="1" t="s">
        <v>10</v>
      </c>
      <c r="C3" s="1" t="s">
        <v>11</v>
      </c>
      <c r="D3" s="1" t="s">
        <v>1</v>
      </c>
      <c r="E3">
        <f t="shared" ref="E3:E66" si="0">F3*1.8982/1000/1.989</f>
        <v>1.1833926596279538E-2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</v>
      </c>
      <c r="K3" s="1" t="s">
        <v>9</v>
      </c>
    </row>
    <row r="4" spans="1:15" ht="15">
      <c r="A4" s="1" t="s">
        <v>16</v>
      </c>
      <c r="B4" s="1" t="s">
        <v>17</v>
      </c>
      <c r="C4" s="1" t="s">
        <v>18</v>
      </c>
      <c r="D4" s="1" t="s">
        <v>1</v>
      </c>
      <c r="E4">
        <f t="shared" si="0"/>
        <v>6.6040945198592256E-3</v>
      </c>
      <c r="F4" s="1" t="s">
        <v>19</v>
      </c>
      <c r="G4" s="1" t="s">
        <v>20</v>
      </c>
      <c r="H4" s="1" t="s">
        <v>21</v>
      </c>
      <c r="I4" s="1" t="s">
        <v>15</v>
      </c>
      <c r="J4" s="1" t="s">
        <v>1</v>
      </c>
      <c r="K4" s="1" t="s">
        <v>9</v>
      </c>
    </row>
    <row r="5" spans="1:15" ht="15">
      <c r="A5" s="1" t="s">
        <v>22</v>
      </c>
      <c r="B5" s="1" t="s">
        <v>23</v>
      </c>
      <c r="C5" s="1" t="s">
        <v>24</v>
      </c>
      <c r="D5" s="1" t="s">
        <v>1</v>
      </c>
      <c r="E5">
        <f t="shared" si="0"/>
        <v>1.0402403217697337E-3</v>
      </c>
      <c r="F5" s="1" t="s">
        <v>25</v>
      </c>
      <c r="G5" s="1" t="s">
        <v>26</v>
      </c>
      <c r="H5" s="1" t="s">
        <v>27</v>
      </c>
      <c r="I5" s="1" t="s">
        <v>28</v>
      </c>
      <c r="J5" s="1" t="s">
        <v>1</v>
      </c>
      <c r="K5" s="1" t="s">
        <v>9</v>
      </c>
    </row>
    <row r="6" spans="1:15" ht="15">
      <c r="A6" s="1" t="s">
        <v>29</v>
      </c>
      <c r="B6" s="1" t="s">
        <v>30</v>
      </c>
      <c r="C6" s="1" t="s">
        <v>31</v>
      </c>
      <c r="D6" s="1" t="s">
        <v>1</v>
      </c>
      <c r="E6">
        <f t="shared" si="0"/>
        <v>1.7655455002513827E-3</v>
      </c>
      <c r="F6" s="1" t="s">
        <v>33</v>
      </c>
      <c r="G6" s="1" t="s">
        <v>34</v>
      </c>
      <c r="H6" s="1" t="s">
        <v>35</v>
      </c>
      <c r="I6" s="1" t="s">
        <v>36</v>
      </c>
      <c r="J6" s="1" t="s">
        <v>1</v>
      </c>
      <c r="K6" s="1" t="s">
        <v>9</v>
      </c>
    </row>
    <row r="7" spans="1:15" ht="15">
      <c r="A7" s="1" t="s">
        <v>37</v>
      </c>
      <c r="B7" s="1" t="s">
        <v>38</v>
      </c>
      <c r="C7" s="1" t="s">
        <v>39</v>
      </c>
      <c r="D7" s="1" t="s">
        <v>1</v>
      </c>
      <c r="E7">
        <f t="shared" si="0"/>
        <v>1.4887843137254904E-3</v>
      </c>
      <c r="F7" s="1" t="s">
        <v>41</v>
      </c>
      <c r="G7" s="1" t="s">
        <v>42</v>
      </c>
      <c r="H7" s="1" t="s">
        <v>43</v>
      </c>
      <c r="I7" s="1" t="s">
        <v>44</v>
      </c>
      <c r="J7" s="1" t="s">
        <v>1</v>
      </c>
      <c r="K7" s="1" t="s">
        <v>9</v>
      </c>
    </row>
    <row r="8" spans="1:15" ht="15">
      <c r="A8" s="1" t="s">
        <v>45</v>
      </c>
      <c r="B8" s="1" t="s">
        <v>46</v>
      </c>
      <c r="C8" s="1" t="s">
        <v>47</v>
      </c>
      <c r="D8" s="1" t="s">
        <v>1</v>
      </c>
      <c r="E8">
        <f t="shared" si="0"/>
        <v>2.4240462543991953E-3</v>
      </c>
      <c r="F8" s="1" t="s">
        <v>48</v>
      </c>
      <c r="G8" s="1" t="s">
        <v>49</v>
      </c>
      <c r="H8" s="1" t="s">
        <v>50</v>
      </c>
      <c r="I8" s="1" t="s">
        <v>51</v>
      </c>
      <c r="J8" s="1" t="s">
        <v>1</v>
      </c>
      <c r="K8" s="1" t="s">
        <v>9</v>
      </c>
    </row>
    <row r="9" spans="1:15" ht="15">
      <c r="A9" s="1" t="s">
        <v>52</v>
      </c>
      <c r="B9" s="1" t="s">
        <v>53</v>
      </c>
      <c r="C9" s="1" t="s">
        <v>47</v>
      </c>
      <c r="D9" s="1" t="s">
        <v>1</v>
      </c>
      <c r="E9">
        <f t="shared" si="0"/>
        <v>1.7560020110608345E-2</v>
      </c>
      <c r="F9" s="1" t="s">
        <v>54</v>
      </c>
      <c r="G9" s="1" t="s">
        <v>55</v>
      </c>
      <c r="H9" s="1" t="s">
        <v>56</v>
      </c>
      <c r="I9" s="1" t="s">
        <v>57</v>
      </c>
      <c r="J9" s="1" t="s">
        <v>1</v>
      </c>
      <c r="K9" s="1" t="s">
        <v>9</v>
      </c>
    </row>
    <row r="10" spans="1:15" ht="15">
      <c r="A10" s="1" t="s">
        <v>58</v>
      </c>
      <c r="B10" s="1" t="s">
        <v>59</v>
      </c>
      <c r="C10" s="1" t="s">
        <v>60</v>
      </c>
      <c r="D10" s="1" t="s">
        <v>1</v>
      </c>
      <c r="E10">
        <f t="shared" si="0"/>
        <v>1.3189102061337356E-2</v>
      </c>
      <c r="F10" s="1" t="s">
        <v>61</v>
      </c>
      <c r="G10" s="1" t="s">
        <v>62</v>
      </c>
      <c r="H10" s="1" t="s">
        <v>63</v>
      </c>
      <c r="I10" s="1" t="s">
        <v>64</v>
      </c>
      <c r="J10" s="1" t="s">
        <v>1</v>
      </c>
      <c r="K10" s="1" t="s">
        <v>22</v>
      </c>
    </row>
    <row r="11" spans="1:15" ht="15">
      <c r="A11" s="1" t="s">
        <v>65</v>
      </c>
      <c r="B11" s="1" t="s">
        <v>66</v>
      </c>
      <c r="C11" s="1" t="s">
        <v>67</v>
      </c>
      <c r="D11" s="1" t="s">
        <v>1</v>
      </c>
      <c r="E11">
        <f t="shared" si="0"/>
        <v>3.8269391654097533E-3</v>
      </c>
      <c r="F11" s="1" t="s">
        <v>68</v>
      </c>
      <c r="G11" s="1" t="s">
        <v>69</v>
      </c>
      <c r="H11" s="1" t="s">
        <v>70</v>
      </c>
      <c r="I11" s="1" t="s">
        <v>71</v>
      </c>
      <c r="J11" s="1" t="s">
        <v>1</v>
      </c>
      <c r="K11" s="1" t="s">
        <v>9</v>
      </c>
    </row>
    <row r="12" spans="1:15" ht="15">
      <c r="A12" s="1" t="s">
        <v>72</v>
      </c>
      <c r="B12" s="1" t="s">
        <v>73</v>
      </c>
      <c r="C12" s="1" t="s">
        <v>74</v>
      </c>
      <c r="D12" s="1" t="s">
        <v>1</v>
      </c>
      <c r="E12">
        <f t="shared" si="0"/>
        <v>2.8439597787833083E-3</v>
      </c>
      <c r="F12" s="1" t="s">
        <v>75</v>
      </c>
      <c r="G12" s="1" t="s">
        <v>9</v>
      </c>
      <c r="H12" s="1" t="s">
        <v>76</v>
      </c>
      <c r="I12" s="1" t="s">
        <v>77</v>
      </c>
      <c r="J12" s="1" t="s">
        <v>1</v>
      </c>
      <c r="K12" s="1" t="s">
        <v>9</v>
      </c>
    </row>
    <row r="13" spans="1:15" ht="15">
      <c r="A13" s="1" t="s">
        <v>78</v>
      </c>
      <c r="B13" s="1" t="s">
        <v>79</v>
      </c>
      <c r="C13" s="1" t="s">
        <v>80</v>
      </c>
      <c r="D13" s="1" t="s">
        <v>1</v>
      </c>
      <c r="E13">
        <f t="shared" si="0"/>
        <v>4.5808748114630469E-4</v>
      </c>
      <c r="F13" s="1" t="s">
        <v>77</v>
      </c>
      <c r="G13" s="1" t="s">
        <v>82</v>
      </c>
      <c r="H13" s="1" t="s">
        <v>83</v>
      </c>
      <c r="I13" s="1" t="s">
        <v>84</v>
      </c>
      <c r="J13" s="1" t="s">
        <v>1</v>
      </c>
      <c r="K13" s="1" t="s">
        <v>16</v>
      </c>
    </row>
    <row r="14" spans="1:15" ht="15">
      <c r="A14" s="1" t="s">
        <v>85</v>
      </c>
      <c r="B14" s="1" t="s">
        <v>86</v>
      </c>
      <c r="C14" s="1" t="s">
        <v>87</v>
      </c>
      <c r="D14" s="1" t="s">
        <v>1</v>
      </c>
      <c r="E14">
        <f t="shared" si="0"/>
        <v>1.3551754650578181E-2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1</v>
      </c>
      <c r="K14" s="1" t="s">
        <v>9</v>
      </c>
    </row>
    <row r="15" spans="1:15" ht="15">
      <c r="A15" s="1" t="s">
        <v>93</v>
      </c>
      <c r="B15" s="1" t="s">
        <v>94</v>
      </c>
      <c r="C15" s="1" t="s">
        <v>95</v>
      </c>
      <c r="D15" s="1" t="s">
        <v>1</v>
      </c>
      <c r="E15">
        <f t="shared" si="0"/>
        <v>3.6265258924082452E-4</v>
      </c>
      <c r="F15" s="1" t="s">
        <v>96</v>
      </c>
      <c r="G15" s="1" t="s">
        <v>97</v>
      </c>
      <c r="H15" s="1" t="s">
        <v>98</v>
      </c>
      <c r="I15" s="1" t="s">
        <v>99</v>
      </c>
      <c r="J15" s="1" t="s">
        <v>1</v>
      </c>
      <c r="K15" s="1" t="s">
        <v>16</v>
      </c>
    </row>
    <row r="16" spans="1:15" ht="15">
      <c r="A16" s="1" t="s">
        <v>100</v>
      </c>
      <c r="B16" s="1" t="s">
        <v>101</v>
      </c>
      <c r="C16" s="1" t="s">
        <v>102</v>
      </c>
      <c r="D16" s="1" t="s">
        <v>1</v>
      </c>
      <c r="E16">
        <f t="shared" si="0"/>
        <v>4.5808748114630469E-4</v>
      </c>
      <c r="F16" s="1" t="s">
        <v>77</v>
      </c>
      <c r="G16" s="1" t="s">
        <v>103</v>
      </c>
      <c r="H16" s="1" t="s">
        <v>104</v>
      </c>
      <c r="I16" s="1" t="s">
        <v>105</v>
      </c>
      <c r="J16" s="1" t="s">
        <v>1</v>
      </c>
      <c r="K16" s="1" t="s">
        <v>9</v>
      </c>
    </row>
    <row r="17" spans="1:11" ht="15">
      <c r="A17" s="1" t="s">
        <v>106</v>
      </c>
      <c r="B17" s="1" t="s">
        <v>107</v>
      </c>
      <c r="C17" s="1" t="s">
        <v>108</v>
      </c>
      <c r="D17" s="1" t="s">
        <v>1</v>
      </c>
      <c r="E17">
        <f t="shared" si="0"/>
        <v>3.2161558572146808E-3</v>
      </c>
      <c r="F17" s="1" t="s">
        <v>109</v>
      </c>
      <c r="G17" s="1" t="s">
        <v>110</v>
      </c>
      <c r="H17" s="1" t="s">
        <v>111</v>
      </c>
      <c r="I17" s="1" t="s">
        <v>112</v>
      </c>
      <c r="J17" s="1" t="s">
        <v>1</v>
      </c>
      <c r="K17" s="1" t="s">
        <v>9</v>
      </c>
    </row>
    <row r="18" spans="1:11" ht="15">
      <c r="A18" s="1" t="s">
        <v>113</v>
      </c>
      <c r="B18" s="1" t="s">
        <v>114</v>
      </c>
      <c r="C18" s="1" t="s">
        <v>115</v>
      </c>
      <c r="D18" s="1" t="s">
        <v>9</v>
      </c>
      <c r="E18">
        <f t="shared" si="0"/>
        <v>1.6223931623931625E-5</v>
      </c>
      <c r="F18" s="1" t="s">
        <v>116</v>
      </c>
      <c r="G18" s="1" t="s">
        <v>117</v>
      </c>
      <c r="H18" s="1" t="s">
        <v>118</v>
      </c>
      <c r="I18" s="1" t="s">
        <v>119</v>
      </c>
      <c r="J18" s="1" t="s">
        <v>1</v>
      </c>
      <c r="K18" s="1" t="s">
        <v>9</v>
      </c>
    </row>
    <row r="19" spans="1:11" ht="15">
      <c r="A19" s="1" t="s">
        <v>24</v>
      </c>
      <c r="B19" s="1" t="s">
        <v>120</v>
      </c>
      <c r="C19" s="1" t="s">
        <v>115</v>
      </c>
      <c r="D19" s="1" t="s">
        <v>9</v>
      </c>
      <c r="E19">
        <f t="shared" si="0"/>
        <v>1.0879577677224736E-4</v>
      </c>
      <c r="F19" s="1" t="s">
        <v>121</v>
      </c>
      <c r="G19" s="1" t="s">
        <v>88</v>
      </c>
      <c r="H19" s="1" t="s">
        <v>122</v>
      </c>
      <c r="I19" s="1" t="s">
        <v>119</v>
      </c>
      <c r="J19" s="1" t="s">
        <v>1</v>
      </c>
      <c r="K19" s="1" t="s">
        <v>9</v>
      </c>
    </row>
    <row r="20" spans="1:11" ht="15">
      <c r="A20" s="1" t="s">
        <v>31</v>
      </c>
      <c r="B20" s="1" t="s">
        <v>123</v>
      </c>
      <c r="C20" s="1" t="s">
        <v>124</v>
      </c>
      <c r="D20" s="1" t="s">
        <v>1</v>
      </c>
      <c r="E20">
        <f t="shared" si="0"/>
        <v>1.7178280542986426E-3</v>
      </c>
      <c r="F20" s="1" t="s">
        <v>125</v>
      </c>
      <c r="G20" s="1" t="s">
        <v>9</v>
      </c>
      <c r="H20" s="1" t="s">
        <v>126</v>
      </c>
      <c r="I20" s="1" t="s">
        <v>127</v>
      </c>
      <c r="J20" s="1" t="s">
        <v>1</v>
      </c>
      <c r="K20" s="1" t="s">
        <v>9</v>
      </c>
    </row>
    <row r="21" spans="1:11" ht="15">
      <c r="A21" s="1" t="s">
        <v>128</v>
      </c>
      <c r="B21" s="1" t="s">
        <v>129</v>
      </c>
      <c r="C21" s="1" t="s">
        <v>130</v>
      </c>
      <c r="D21" s="1" t="s">
        <v>9</v>
      </c>
      <c r="E21">
        <f t="shared" si="0"/>
        <v>1.4219798893916542E-3</v>
      </c>
      <c r="F21" s="1" t="s">
        <v>131</v>
      </c>
      <c r="G21" s="1" t="s">
        <v>132</v>
      </c>
      <c r="H21" s="1" t="s">
        <v>133</v>
      </c>
      <c r="I21" s="1" t="s">
        <v>134</v>
      </c>
      <c r="J21" s="1" t="s">
        <v>1</v>
      </c>
      <c r="K21" s="1" t="s">
        <v>9</v>
      </c>
    </row>
    <row r="22" spans="1:11" ht="15">
      <c r="A22" s="1" t="s">
        <v>135</v>
      </c>
      <c r="B22" s="1" t="s">
        <v>136</v>
      </c>
      <c r="C22" s="1" t="s">
        <v>130</v>
      </c>
      <c r="D22" s="1" t="s">
        <v>9</v>
      </c>
      <c r="E22">
        <f t="shared" si="0"/>
        <v>1.4315233785822017E-4</v>
      </c>
      <c r="F22" s="1" t="s">
        <v>137</v>
      </c>
      <c r="G22" s="1" t="s">
        <v>138</v>
      </c>
      <c r="H22" s="1" t="s">
        <v>139</v>
      </c>
      <c r="I22" s="1" t="s">
        <v>140</v>
      </c>
      <c r="J22" s="1" t="s">
        <v>1</v>
      </c>
      <c r="K22" s="1" t="s">
        <v>9</v>
      </c>
    </row>
    <row r="23" spans="1:11" ht="15">
      <c r="A23" s="1" t="s">
        <v>141</v>
      </c>
      <c r="B23" s="1" t="s">
        <v>142</v>
      </c>
      <c r="C23" s="1" t="s">
        <v>143</v>
      </c>
      <c r="D23" s="1" t="s">
        <v>9</v>
      </c>
      <c r="E23">
        <f t="shared" si="0"/>
        <v>1.1929361488185017E-3</v>
      </c>
      <c r="F23" s="1" t="s">
        <v>144</v>
      </c>
      <c r="G23" s="1" t="s">
        <v>145</v>
      </c>
      <c r="H23" s="1" t="s">
        <v>146</v>
      </c>
      <c r="I23" s="1" t="s">
        <v>147</v>
      </c>
      <c r="J23" s="1" t="s">
        <v>1</v>
      </c>
      <c r="K23" s="1" t="s">
        <v>9</v>
      </c>
    </row>
    <row r="24" spans="1:11" ht="15">
      <c r="A24" s="1" t="s">
        <v>148</v>
      </c>
      <c r="B24" s="1" t="s">
        <v>149</v>
      </c>
      <c r="C24" s="1" t="s">
        <v>143</v>
      </c>
      <c r="D24" s="1" t="s">
        <v>9</v>
      </c>
      <c r="E24">
        <f t="shared" si="0"/>
        <v>5.0580492709904473E-3</v>
      </c>
      <c r="F24" s="1" t="s">
        <v>150</v>
      </c>
      <c r="G24" s="1" t="s">
        <v>81</v>
      </c>
      <c r="H24" s="1" t="s">
        <v>151</v>
      </c>
      <c r="I24" s="1" t="s">
        <v>152</v>
      </c>
      <c r="J24" s="1" t="s">
        <v>1</v>
      </c>
      <c r="K24" s="1" t="s">
        <v>9</v>
      </c>
    </row>
    <row r="25" spans="1:11" ht="15">
      <c r="A25" s="1" t="s">
        <v>153</v>
      </c>
      <c r="B25" s="1" t="s">
        <v>154</v>
      </c>
      <c r="C25" s="1" t="s">
        <v>155</v>
      </c>
      <c r="D25" s="1" t="s">
        <v>1</v>
      </c>
      <c r="E25">
        <f t="shared" si="0"/>
        <v>3.0835013574660638E-4</v>
      </c>
      <c r="F25" s="1" t="s">
        <v>156</v>
      </c>
      <c r="G25" s="1" t="s">
        <v>157</v>
      </c>
      <c r="H25" s="1" t="s">
        <v>158</v>
      </c>
      <c r="I25" s="1" t="s">
        <v>69</v>
      </c>
      <c r="J25" s="1" t="s">
        <v>1</v>
      </c>
      <c r="K25" s="1" t="s">
        <v>9</v>
      </c>
    </row>
    <row r="26" spans="1:11" ht="15">
      <c r="A26" s="1" t="s">
        <v>159</v>
      </c>
      <c r="B26" s="1" t="s">
        <v>160</v>
      </c>
      <c r="C26" s="1" t="s">
        <v>161</v>
      </c>
      <c r="D26" s="1" t="s">
        <v>9</v>
      </c>
      <c r="E26">
        <f t="shared" si="0"/>
        <v>5.3443539467068891E-4</v>
      </c>
      <c r="F26" s="1" t="s">
        <v>162</v>
      </c>
      <c r="G26" s="1" t="s">
        <v>163</v>
      </c>
      <c r="H26" s="1" t="s">
        <v>164</v>
      </c>
      <c r="I26" s="1" t="s">
        <v>165</v>
      </c>
      <c r="J26" s="1" t="s">
        <v>1</v>
      </c>
      <c r="K26" s="1" t="s">
        <v>22</v>
      </c>
    </row>
    <row r="27" spans="1:11" ht="15">
      <c r="A27" s="1" t="s">
        <v>166</v>
      </c>
      <c r="B27" s="1" t="s">
        <v>167</v>
      </c>
      <c r="C27" s="1" t="s">
        <v>161</v>
      </c>
      <c r="D27" s="1" t="s">
        <v>9</v>
      </c>
      <c r="E27">
        <f t="shared" si="0"/>
        <v>6.966747109100049E-4</v>
      </c>
      <c r="F27" s="1" t="s">
        <v>168</v>
      </c>
      <c r="G27" s="1" t="s">
        <v>169</v>
      </c>
      <c r="H27" s="1" t="s">
        <v>170</v>
      </c>
      <c r="I27" s="1" t="s">
        <v>119</v>
      </c>
      <c r="J27" s="1" t="s">
        <v>1</v>
      </c>
      <c r="K27" s="1" t="s">
        <v>22</v>
      </c>
    </row>
    <row r="28" spans="1:11" ht="15">
      <c r="A28" s="1" t="s">
        <v>171</v>
      </c>
      <c r="B28" s="1" t="s">
        <v>172</v>
      </c>
      <c r="C28" s="1" t="s">
        <v>173</v>
      </c>
      <c r="D28" s="1" t="s">
        <v>1</v>
      </c>
      <c r="E28">
        <f t="shared" si="0"/>
        <v>7.5393564605329318E-4</v>
      </c>
      <c r="F28" s="1" t="s">
        <v>174</v>
      </c>
      <c r="G28" s="1" t="s">
        <v>175</v>
      </c>
      <c r="H28" s="1" t="s">
        <v>176</v>
      </c>
      <c r="I28" s="1" t="s">
        <v>177</v>
      </c>
      <c r="J28" s="1" t="s">
        <v>1</v>
      </c>
      <c r="K28" s="1" t="s">
        <v>9</v>
      </c>
    </row>
    <row r="29" spans="1:11" ht="15">
      <c r="A29" s="1" t="s">
        <v>178</v>
      </c>
      <c r="B29" s="1" t="s">
        <v>179</v>
      </c>
      <c r="C29" s="1" t="s">
        <v>180</v>
      </c>
      <c r="D29" s="1" t="s">
        <v>1</v>
      </c>
      <c r="E29">
        <f t="shared" si="0"/>
        <v>3.5310910005027655E-3</v>
      </c>
      <c r="F29" s="1" t="s">
        <v>32</v>
      </c>
      <c r="G29" s="1" t="s">
        <v>181</v>
      </c>
      <c r="H29" s="1" t="s">
        <v>182</v>
      </c>
      <c r="I29" s="1" t="s">
        <v>183</v>
      </c>
      <c r="J29" s="1" t="s">
        <v>1</v>
      </c>
      <c r="K29" s="1" t="s">
        <v>9</v>
      </c>
    </row>
    <row r="30" spans="1:11" ht="15">
      <c r="A30" s="1" t="s">
        <v>74</v>
      </c>
      <c r="B30" s="1" t="s">
        <v>184</v>
      </c>
      <c r="C30" s="1" t="s">
        <v>185</v>
      </c>
      <c r="D30" s="1" t="s">
        <v>1</v>
      </c>
      <c r="E30">
        <f t="shared" si="0"/>
        <v>1.0478751131221721E-2</v>
      </c>
      <c r="F30" s="1" t="s">
        <v>186</v>
      </c>
      <c r="G30" s="1" t="s">
        <v>187</v>
      </c>
      <c r="H30" s="1" t="s">
        <v>188</v>
      </c>
      <c r="I30" s="1" t="s">
        <v>189</v>
      </c>
      <c r="J30" s="1" t="s">
        <v>1</v>
      </c>
      <c r="K30" s="1" t="s">
        <v>9</v>
      </c>
    </row>
    <row r="31" spans="1:11" ht="15">
      <c r="A31" s="1" t="s">
        <v>190</v>
      </c>
      <c r="B31" s="1" t="s">
        <v>191</v>
      </c>
      <c r="C31" s="1" t="s">
        <v>192</v>
      </c>
      <c r="D31" s="1" t="s">
        <v>1</v>
      </c>
      <c r="E31">
        <f t="shared" si="0"/>
        <v>1.2406535947712417E-2</v>
      </c>
      <c r="F31" s="1" t="s">
        <v>85</v>
      </c>
      <c r="G31" s="1" t="s">
        <v>193</v>
      </c>
      <c r="H31" s="1" t="s">
        <v>194</v>
      </c>
      <c r="I31" s="1" t="s">
        <v>195</v>
      </c>
      <c r="J31" s="1" t="s">
        <v>1</v>
      </c>
      <c r="K31" s="1" t="s">
        <v>9</v>
      </c>
    </row>
    <row r="32" spans="1:11" ht="15">
      <c r="A32" s="1" t="s">
        <v>196</v>
      </c>
      <c r="B32" s="1" t="s">
        <v>667</v>
      </c>
      <c r="C32" s="1" t="s">
        <v>197</v>
      </c>
      <c r="D32" s="1" t="s">
        <v>1</v>
      </c>
      <c r="E32">
        <f t="shared" si="0"/>
        <v>2.2236329813976872E-3</v>
      </c>
      <c r="F32" s="1" t="s">
        <v>26</v>
      </c>
      <c r="G32" s="1" t="s">
        <v>198</v>
      </c>
      <c r="H32" s="1" t="s">
        <v>199</v>
      </c>
      <c r="I32" s="1" t="s">
        <v>200</v>
      </c>
      <c r="J32" s="1" t="s">
        <v>1</v>
      </c>
      <c r="K32" s="1" t="s">
        <v>9</v>
      </c>
    </row>
    <row r="33" spans="1:11" ht="15">
      <c r="A33" s="1" t="s">
        <v>201</v>
      </c>
      <c r="B33" s="1" t="s">
        <v>202</v>
      </c>
      <c r="C33" s="1" t="s">
        <v>203</v>
      </c>
      <c r="D33" s="1" t="s">
        <v>9</v>
      </c>
      <c r="E33">
        <f t="shared" si="0"/>
        <v>2.0041327300150832E-3</v>
      </c>
      <c r="F33" s="1" t="s">
        <v>204</v>
      </c>
      <c r="G33" s="1" t="s">
        <v>205</v>
      </c>
      <c r="H33" s="1" t="s">
        <v>206</v>
      </c>
      <c r="I33" s="1" t="s">
        <v>152</v>
      </c>
      <c r="J33" s="1" t="s">
        <v>1</v>
      </c>
      <c r="K33" s="1" t="s">
        <v>9</v>
      </c>
    </row>
    <row r="34" spans="1:11" ht="15">
      <c r="A34" s="1" t="s">
        <v>207</v>
      </c>
      <c r="B34" s="1" t="s">
        <v>208</v>
      </c>
      <c r="C34" s="1" t="s">
        <v>203</v>
      </c>
      <c r="D34" s="1" t="s">
        <v>9</v>
      </c>
      <c r="E34">
        <f t="shared" si="0"/>
        <v>1.2120231271995976E-3</v>
      </c>
      <c r="F34" s="1" t="s">
        <v>209</v>
      </c>
      <c r="G34" s="1" t="s">
        <v>210</v>
      </c>
      <c r="H34" s="1" t="s">
        <v>211</v>
      </c>
      <c r="I34" s="1" t="s">
        <v>212</v>
      </c>
      <c r="J34" s="1" t="s">
        <v>1</v>
      </c>
      <c r="K34" s="1" t="s">
        <v>9</v>
      </c>
    </row>
    <row r="35" spans="1:11" ht="15">
      <c r="A35" s="1" t="s">
        <v>213</v>
      </c>
      <c r="B35" s="1" t="s">
        <v>214</v>
      </c>
      <c r="C35" s="1" t="s">
        <v>215</v>
      </c>
      <c r="D35" s="1" t="s">
        <v>1</v>
      </c>
      <c r="E35">
        <f t="shared" si="0"/>
        <v>1.6033061840120663E-3</v>
      </c>
      <c r="F35" s="1" t="s">
        <v>216</v>
      </c>
      <c r="G35" s="1" t="s">
        <v>217</v>
      </c>
      <c r="H35" s="1" t="s">
        <v>218</v>
      </c>
      <c r="I35" s="1" t="s">
        <v>219</v>
      </c>
      <c r="J35" s="1" t="s">
        <v>1</v>
      </c>
      <c r="K35" s="1" t="s">
        <v>9</v>
      </c>
    </row>
    <row r="36" spans="1:11" ht="15">
      <c r="A36" s="1" t="s">
        <v>87</v>
      </c>
      <c r="B36" s="1" t="s">
        <v>220</v>
      </c>
      <c r="C36" s="1" t="s">
        <v>221</v>
      </c>
      <c r="D36" s="1" t="s">
        <v>1</v>
      </c>
      <c r="E36">
        <f t="shared" si="0"/>
        <v>3.9414610356963298E-3</v>
      </c>
      <c r="F36" s="1" t="s">
        <v>222</v>
      </c>
      <c r="G36" s="1" t="s">
        <v>71</v>
      </c>
      <c r="H36" s="1" t="s">
        <v>223</v>
      </c>
      <c r="I36" s="1" t="s">
        <v>224</v>
      </c>
      <c r="J36" s="1" t="s">
        <v>1</v>
      </c>
      <c r="K36" s="1" t="s">
        <v>9</v>
      </c>
    </row>
    <row r="37" spans="1:11" ht="15">
      <c r="A37" s="1" t="s">
        <v>225</v>
      </c>
      <c r="B37" s="1" t="s">
        <v>226</v>
      </c>
      <c r="C37" s="1" t="s">
        <v>227</v>
      </c>
      <c r="D37" s="1" t="s">
        <v>1</v>
      </c>
      <c r="E37">
        <f t="shared" si="0"/>
        <v>3.8173956762192058E-4</v>
      </c>
      <c r="F37" s="1" t="s">
        <v>195</v>
      </c>
      <c r="G37" s="1" t="s">
        <v>228</v>
      </c>
      <c r="H37" s="1" t="s">
        <v>229</v>
      </c>
      <c r="I37" s="1" t="s">
        <v>230</v>
      </c>
      <c r="J37" s="1" t="s">
        <v>1</v>
      </c>
      <c r="K37" s="1" t="s">
        <v>9</v>
      </c>
    </row>
    <row r="38" spans="1:11" ht="15">
      <c r="A38" s="1" t="s">
        <v>231</v>
      </c>
      <c r="B38" s="1" t="s">
        <v>232</v>
      </c>
      <c r="C38" s="1" t="s">
        <v>233</v>
      </c>
      <c r="D38" s="1" t="s">
        <v>1</v>
      </c>
      <c r="E38">
        <f t="shared" si="0"/>
        <v>1.8132629462041228E-3</v>
      </c>
      <c r="F38" s="1" t="s">
        <v>234</v>
      </c>
      <c r="G38" s="1" t="s">
        <v>235</v>
      </c>
      <c r="H38" s="1" t="s">
        <v>236</v>
      </c>
      <c r="I38" s="1" t="s">
        <v>237</v>
      </c>
      <c r="J38" s="1" t="s">
        <v>1</v>
      </c>
      <c r="K38" s="1" t="s">
        <v>16</v>
      </c>
    </row>
    <row r="39" spans="1:11" ht="15">
      <c r="A39" s="1" t="s">
        <v>238</v>
      </c>
      <c r="B39" s="1" t="s">
        <v>239</v>
      </c>
      <c r="C39" s="1" t="s">
        <v>240</v>
      </c>
      <c r="D39" s="1" t="s">
        <v>1</v>
      </c>
      <c r="E39">
        <f t="shared" si="0"/>
        <v>1.1547621920563096E-3</v>
      </c>
      <c r="F39" s="1" t="s">
        <v>241</v>
      </c>
      <c r="G39" s="1" t="s">
        <v>242</v>
      </c>
      <c r="H39" s="1" t="s">
        <v>243</v>
      </c>
      <c r="I39" s="1" t="s">
        <v>99</v>
      </c>
      <c r="J39" s="1" t="s">
        <v>1</v>
      </c>
      <c r="K39" s="1" t="s">
        <v>16</v>
      </c>
    </row>
    <row r="40" spans="1:11" ht="15">
      <c r="A40" s="1" t="s">
        <v>244</v>
      </c>
      <c r="B40" s="1" t="s">
        <v>245</v>
      </c>
      <c r="C40" s="1" t="s">
        <v>246</v>
      </c>
      <c r="D40" s="1" t="s">
        <v>1</v>
      </c>
      <c r="E40">
        <f t="shared" si="0"/>
        <v>8.9708798391151332E-4</v>
      </c>
      <c r="F40" s="1" t="s">
        <v>247</v>
      </c>
      <c r="G40" s="1" t="s">
        <v>248</v>
      </c>
      <c r="H40" s="1" t="s">
        <v>249</v>
      </c>
      <c r="I40" s="1" t="s">
        <v>219</v>
      </c>
      <c r="J40" s="1" t="s">
        <v>1</v>
      </c>
      <c r="K40" s="1" t="s">
        <v>9</v>
      </c>
    </row>
    <row r="41" spans="1:11" ht="15">
      <c r="A41" s="1" t="s">
        <v>250</v>
      </c>
      <c r="B41" s="1" t="s">
        <v>251</v>
      </c>
      <c r="C41" s="1" t="s">
        <v>252</v>
      </c>
      <c r="D41" s="1" t="s">
        <v>1</v>
      </c>
      <c r="E41">
        <f t="shared" si="0"/>
        <v>2.0518501759678228E-4</v>
      </c>
      <c r="F41" s="1" t="s">
        <v>253</v>
      </c>
      <c r="G41" s="1" t="s">
        <v>140</v>
      </c>
      <c r="H41" s="1" t="s">
        <v>254</v>
      </c>
      <c r="I41" s="1" t="s">
        <v>255</v>
      </c>
      <c r="J41" s="1" t="s">
        <v>1</v>
      </c>
      <c r="K41" s="1" t="s">
        <v>9</v>
      </c>
    </row>
    <row r="42" spans="1:11" ht="15">
      <c r="A42" s="1" t="s">
        <v>256</v>
      </c>
      <c r="B42" s="1" t="s">
        <v>257</v>
      </c>
      <c r="C42" s="1" t="s">
        <v>258</v>
      </c>
      <c r="D42" s="1" t="s">
        <v>37</v>
      </c>
      <c r="E42">
        <f t="shared" si="0"/>
        <v>1.6796540975364507E-5</v>
      </c>
      <c r="F42" s="1" t="s">
        <v>259</v>
      </c>
      <c r="G42" s="1" t="s">
        <v>260</v>
      </c>
      <c r="H42" s="1" t="s">
        <v>261</v>
      </c>
      <c r="I42" s="1" t="s">
        <v>262</v>
      </c>
      <c r="J42" s="1" t="s">
        <v>1</v>
      </c>
      <c r="K42" s="1" t="s">
        <v>16</v>
      </c>
    </row>
    <row r="43" spans="1:11" ht="15">
      <c r="A43" s="1" t="s">
        <v>263</v>
      </c>
      <c r="B43" s="1" t="s">
        <v>264</v>
      </c>
      <c r="C43" s="1" t="s">
        <v>258</v>
      </c>
      <c r="D43" s="1" t="s">
        <v>37</v>
      </c>
      <c r="E43">
        <f t="shared" si="0"/>
        <v>1.1356752136752139E-5</v>
      </c>
      <c r="F43" s="1" t="s">
        <v>265</v>
      </c>
      <c r="G43" s="1" t="s">
        <v>266</v>
      </c>
      <c r="H43" s="1" t="s">
        <v>267</v>
      </c>
      <c r="I43" s="1" t="s">
        <v>268</v>
      </c>
      <c r="J43" s="1" t="s">
        <v>1</v>
      </c>
      <c r="K43" s="1" t="s">
        <v>16</v>
      </c>
    </row>
    <row r="44" spans="1:11" ht="15">
      <c r="A44" s="1" t="s">
        <v>269</v>
      </c>
      <c r="B44" s="1" t="s">
        <v>270</v>
      </c>
      <c r="C44" s="1" t="s">
        <v>258</v>
      </c>
      <c r="D44" s="1" t="s">
        <v>37</v>
      </c>
      <c r="E44">
        <f t="shared" si="0"/>
        <v>1.5269582704876822E-5</v>
      </c>
      <c r="F44" s="1" t="s">
        <v>271</v>
      </c>
      <c r="G44" s="1" t="s">
        <v>272</v>
      </c>
      <c r="H44" s="1" t="s">
        <v>273</v>
      </c>
      <c r="I44" s="1" t="s">
        <v>274</v>
      </c>
      <c r="J44" s="1" t="s">
        <v>1</v>
      </c>
      <c r="K44" s="1" t="s">
        <v>16</v>
      </c>
    </row>
    <row r="45" spans="1:11" ht="15">
      <c r="A45" s="1" t="s">
        <v>275</v>
      </c>
      <c r="B45" s="1" t="s">
        <v>276</v>
      </c>
      <c r="C45" s="1" t="s">
        <v>258</v>
      </c>
      <c r="D45" s="1" t="s">
        <v>37</v>
      </c>
      <c r="E45">
        <f t="shared" si="0"/>
        <v>8.1119658119658126E-6</v>
      </c>
      <c r="F45" s="1" t="s">
        <v>277</v>
      </c>
      <c r="G45" s="1" t="s">
        <v>278</v>
      </c>
      <c r="H45" s="1" t="s">
        <v>279</v>
      </c>
      <c r="I45" s="1" t="s">
        <v>268</v>
      </c>
      <c r="J45" s="1" t="s">
        <v>1</v>
      </c>
      <c r="K45" s="1" t="s">
        <v>16</v>
      </c>
    </row>
    <row r="46" spans="1:11" ht="15">
      <c r="A46" s="1" t="s">
        <v>280</v>
      </c>
      <c r="B46" s="1" t="s">
        <v>281</v>
      </c>
      <c r="C46" s="1" t="s">
        <v>258</v>
      </c>
      <c r="D46" s="1" t="s">
        <v>37</v>
      </c>
      <c r="E46">
        <f t="shared" si="0"/>
        <v>8.1119658119658126E-6</v>
      </c>
      <c r="F46" s="1" t="s">
        <v>277</v>
      </c>
      <c r="G46" s="1" t="s">
        <v>282</v>
      </c>
      <c r="H46" s="1" t="s">
        <v>283</v>
      </c>
      <c r="I46" s="1" t="s">
        <v>274</v>
      </c>
      <c r="J46" s="1" t="s">
        <v>1</v>
      </c>
      <c r="K46" s="1" t="s">
        <v>16</v>
      </c>
    </row>
    <row r="47" spans="1:11" ht="15">
      <c r="A47" s="1" t="s">
        <v>284</v>
      </c>
      <c r="B47" s="1" t="s">
        <v>285</v>
      </c>
      <c r="C47" s="1" t="s">
        <v>258</v>
      </c>
      <c r="D47" s="1" t="s">
        <v>37</v>
      </c>
      <c r="E47">
        <f t="shared" si="0"/>
        <v>1.3838059326294622E-5</v>
      </c>
      <c r="F47" s="1" t="s">
        <v>286</v>
      </c>
      <c r="G47" s="1" t="s">
        <v>287</v>
      </c>
      <c r="H47" s="1" t="s">
        <v>288</v>
      </c>
      <c r="I47" s="1" t="s">
        <v>289</v>
      </c>
      <c r="J47" s="1" t="s">
        <v>1</v>
      </c>
      <c r="K47" s="1" t="s">
        <v>16</v>
      </c>
    </row>
    <row r="48" spans="1:11" ht="15">
      <c r="A48" s="1" t="s">
        <v>290</v>
      </c>
      <c r="B48" s="1" t="s">
        <v>291</v>
      </c>
      <c r="C48" s="1" t="s">
        <v>292</v>
      </c>
      <c r="D48" s="1" t="s">
        <v>1</v>
      </c>
      <c r="E48">
        <f t="shared" si="0"/>
        <v>1.2883710407239821E-3</v>
      </c>
      <c r="F48" s="1" t="s">
        <v>293</v>
      </c>
      <c r="G48" s="1" t="s">
        <v>294</v>
      </c>
      <c r="H48" s="1" t="s">
        <v>295</v>
      </c>
      <c r="I48" s="1" t="s">
        <v>57</v>
      </c>
      <c r="J48" s="1" t="s">
        <v>1</v>
      </c>
      <c r="K48" s="1" t="s">
        <v>9</v>
      </c>
    </row>
    <row r="49" spans="1:11" ht="15">
      <c r="A49" s="1" t="s">
        <v>296</v>
      </c>
      <c r="B49" s="1" t="s">
        <v>297</v>
      </c>
      <c r="C49" s="1" t="s">
        <v>292</v>
      </c>
      <c r="D49" s="1" t="s">
        <v>1</v>
      </c>
      <c r="E49">
        <f t="shared" si="0"/>
        <v>1.1070447461035695E-3</v>
      </c>
      <c r="F49" s="1" t="s">
        <v>294</v>
      </c>
      <c r="G49" s="1" t="s">
        <v>298</v>
      </c>
      <c r="H49" s="1" t="s">
        <v>299</v>
      </c>
      <c r="I49" s="1" t="s">
        <v>300</v>
      </c>
      <c r="J49" s="1" t="s">
        <v>1</v>
      </c>
      <c r="K49" s="1" t="s">
        <v>9</v>
      </c>
    </row>
    <row r="50" spans="1:11" ht="15">
      <c r="A50" s="1" t="s">
        <v>301</v>
      </c>
      <c r="B50" s="1" t="s">
        <v>302</v>
      </c>
      <c r="C50" s="1" t="s">
        <v>303</v>
      </c>
      <c r="D50" s="1" t="s">
        <v>1</v>
      </c>
      <c r="E50">
        <f t="shared" si="0"/>
        <v>9.1712931121166411E-3</v>
      </c>
      <c r="F50" s="1" t="s">
        <v>304</v>
      </c>
      <c r="G50" s="1" t="s">
        <v>305</v>
      </c>
      <c r="H50" s="1" t="s">
        <v>306</v>
      </c>
      <c r="I50" s="1" t="s">
        <v>307</v>
      </c>
      <c r="J50" s="1" t="s">
        <v>1</v>
      </c>
      <c r="K50" s="1" t="s">
        <v>9</v>
      </c>
    </row>
    <row r="51" spans="1:11" ht="15">
      <c r="A51" s="1" t="s">
        <v>308</v>
      </c>
      <c r="B51" s="1" t="s">
        <v>309</v>
      </c>
      <c r="C51" s="1" t="s">
        <v>310</v>
      </c>
      <c r="D51" s="1" t="s">
        <v>1</v>
      </c>
      <c r="E51">
        <f t="shared" si="0"/>
        <v>1.4315233785822021E-3</v>
      </c>
      <c r="F51" s="1" t="s">
        <v>311</v>
      </c>
      <c r="G51" s="1" t="s">
        <v>312</v>
      </c>
      <c r="H51" s="1" t="s">
        <v>313</v>
      </c>
      <c r="I51" s="1" t="s">
        <v>314</v>
      </c>
      <c r="J51" s="1" t="s">
        <v>1</v>
      </c>
      <c r="K51" s="1" t="s">
        <v>9</v>
      </c>
    </row>
    <row r="52" spans="1:11" ht="15">
      <c r="A52" s="1" t="s">
        <v>315</v>
      </c>
      <c r="B52" s="1" t="s">
        <v>316</v>
      </c>
      <c r="C52" s="1" t="s">
        <v>317</v>
      </c>
      <c r="D52" s="1" t="s">
        <v>1</v>
      </c>
      <c r="E52">
        <f t="shared" si="0"/>
        <v>8.0165309200603315E-4</v>
      </c>
      <c r="F52" s="1" t="s">
        <v>318</v>
      </c>
      <c r="G52" s="1" t="s">
        <v>319</v>
      </c>
      <c r="H52" s="1" t="s">
        <v>320</v>
      </c>
      <c r="I52" s="1" t="s">
        <v>237</v>
      </c>
      <c r="J52" s="1" t="s">
        <v>1</v>
      </c>
      <c r="K52" s="1" t="s">
        <v>9</v>
      </c>
    </row>
    <row r="53" spans="1:11" ht="15">
      <c r="A53" s="1" t="s">
        <v>321</v>
      </c>
      <c r="B53" s="1" t="s">
        <v>322</v>
      </c>
      <c r="C53" s="1" t="s">
        <v>323</v>
      </c>
      <c r="D53" s="1" t="s">
        <v>9</v>
      </c>
      <c r="E53">
        <f t="shared" si="0"/>
        <v>1.3647189542483659E-3</v>
      </c>
      <c r="F53" s="1" t="s">
        <v>324</v>
      </c>
      <c r="G53" s="1" t="s">
        <v>325</v>
      </c>
      <c r="H53" s="1" t="s">
        <v>326</v>
      </c>
      <c r="I53" s="1" t="s">
        <v>237</v>
      </c>
      <c r="J53" s="1" t="s">
        <v>1</v>
      </c>
      <c r="K53" s="1" t="s">
        <v>9</v>
      </c>
    </row>
    <row r="54" spans="1:11" ht="15">
      <c r="A54" s="1" t="s">
        <v>327</v>
      </c>
      <c r="B54" s="1" t="s">
        <v>328</v>
      </c>
      <c r="C54" s="1" t="s">
        <v>323</v>
      </c>
      <c r="D54" s="1" t="s">
        <v>9</v>
      </c>
      <c r="E54">
        <f t="shared" si="0"/>
        <v>4.5808748114630469E-4</v>
      </c>
      <c r="F54" s="1" t="s">
        <v>77</v>
      </c>
      <c r="G54" s="1" t="s">
        <v>329</v>
      </c>
      <c r="H54" s="1" t="s">
        <v>330</v>
      </c>
      <c r="I54" s="1" t="s">
        <v>331</v>
      </c>
      <c r="J54" s="1" t="s">
        <v>1</v>
      </c>
      <c r="K54" s="1" t="s">
        <v>9</v>
      </c>
    </row>
    <row r="55" spans="1:11" ht="15">
      <c r="A55" s="1" t="s">
        <v>332</v>
      </c>
      <c r="B55" s="1" t="s">
        <v>333</v>
      </c>
      <c r="C55" s="1" t="s">
        <v>323</v>
      </c>
      <c r="D55" s="1" t="s">
        <v>1</v>
      </c>
      <c r="E55">
        <f t="shared" si="0"/>
        <v>2.3858722976370034E-3</v>
      </c>
      <c r="F55" s="1" t="s">
        <v>334</v>
      </c>
      <c r="G55" s="1" t="s">
        <v>335</v>
      </c>
      <c r="H55" s="1" t="s">
        <v>336</v>
      </c>
      <c r="I55" s="1" t="s">
        <v>337</v>
      </c>
      <c r="J55" s="1" t="s">
        <v>1</v>
      </c>
      <c r="K55" s="1" t="s">
        <v>9</v>
      </c>
    </row>
    <row r="56" spans="1:11" ht="15">
      <c r="A56" s="1" t="s">
        <v>338</v>
      </c>
      <c r="B56" s="1" t="s">
        <v>339</v>
      </c>
      <c r="C56" s="1" t="s">
        <v>340</v>
      </c>
      <c r="D56" s="1" t="s">
        <v>1</v>
      </c>
      <c r="E56">
        <f t="shared" si="0"/>
        <v>3.3402212166918051E-3</v>
      </c>
      <c r="F56" s="1" t="s">
        <v>341</v>
      </c>
      <c r="G56" s="1" t="s">
        <v>9</v>
      </c>
      <c r="H56" s="1" t="s">
        <v>342</v>
      </c>
      <c r="I56" s="1" t="s">
        <v>343</v>
      </c>
      <c r="J56" s="1" t="s">
        <v>1</v>
      </c>
      <c r="K56" s="1" t="s">
        <v>9</v>
      </c>
    </row>
    <row r="57" spans="1:11" ht="15">
      <c r="A57" s="1" t="s">
        <v>344</v>
      </c>
      <c r="B57" s="1" t="s">
        <v>345</v>
      </c>
      <c r="C57" s="1" t="s">
        <v>346</v>
      </c>
      <c r="D57" s="1" t="s">
        <v>1</v>
      </c>
      <c r="E57">
        <f t="shared" si="0"/>
        <v>4.7717445952740072E-5</v>
      </c>
      <c r="F57" s="1" t="s">
        <v>15</v>
      </c>
      <c r="G57" s="1" t="s">
        <v>347</v>
      </c>
      <c r="H57" s="1" t="s">
        <v>348</v>
      </c>
      <c r="I57" s="1" t="s">
        <v>349</v>
      </c>
      <c r="J57" s="1" t="s">
        <v>1</v>
      </c>
      <c r="K57" s="1" t="s">
        <v>9</v>
      </c>
    </row>
    <row r="58" spans="1:11" ht="15">
      <c r="A58" s="1" t="s">
        <v>350</v>
      </c>
      <c r="B58" s="1" t="s">
        <v>351</v>
      </c>
      <c r="C58" s="1" t="s">
        <v>352</v>
      </c>
      <c r="D58" s="1" t="s">
        <v>1</v>
      </c>
      <c r="E58">
        <f t="shared" si="0"/>
        <v>3.0348295625942687E-3</v>
      </c>
      <c r="F58" s="1" t="s">
        <v>353</v>
      </c>
      <c r="G58" s="1" t="s">
        <v>354</v>
      </c>
      <c r="H58" s="1" t="s">
        <v>355</v>
      </c>
      <c r="I58" s="1" t="s">
        <v>356</v>
      </c>
      <c r="J58" s="1" t="s">
        <v>1</v>
      </c>
      <c r="K58" s="1" t="s">
        <v>9</v>
      </c>
    </row>
    <row r="59" spans="1:11" ht="15">
      <c r="A59" s="1" t="s">
        <v>357</v>
      </c>
      <c r="B59" s="1" t="s">
        <v>358</v>
      </c>
      <c r="C59" s="1" t="s">
        <v>359</v>
      </c>
      <c r="D59" s="1" t="s">
        <v>1</v>
      </c>
      <c r="E59">
        <f t="shared" si="0"/>
        <v>1.4219798893916542E-3</v>
      </c>
      <c r="F59" s="1" t="s">
        <v>131</v>
      </c>
      <c r="G59" s="1" t="s">
        <v>360</v>
      </c>
      <c r="H59" s="1" t="s">
        <v>361</v>
      </c>
      <c r="I59" s="1" t="s">
        <v>177</v>
      </c>
      <c r="J59" s="1" t="s">
        <v>1</v>
      </c>
      <c r="K59" s="1" t="s">
        <v>16</v>
      </c>
    </row>
    <row r="60" spans="1:11" ht="15">
      <c r="A60" s="1" t="s">
        <v>362</v>
      </c>
      <c r="B60" s="1" t="s">
        <v>363</v>
      </c>
      <c r="C60" s="1" t="s">
        <v>364</v>
      </c>
      <c r="D60" s="1" t="s">
        <v>1</v>
      </c>
      <c r="E60">
        <f t="shared" si="0"/>
        <v>2.3763288084464553E-4</v>
      </c>
      <c r="F60" s="1" t="s">
        <v>365</v>
      </c>
      <c r="G60" s="1" t="s">
        <v>84</v>
      </c>
      <c r="H60" s="1" t="s">
        <v>366</v>
      </c>
      <c r="I60" s="1" t="s">
        <v>367</v>
      </c>
      <c r="J60" s="1" t="s">
        <v>1</v>
      </c>
      <c r="K60" s="1" t="s">
        <v>9</v>
      </c>
    </row>
    <row r="61" spans="1:11" ht="15">
      <c r="A61" s="1" t="s">
        <v>368</v>
      </c>
      <c r="B61" s="1" t="s">
        <v>369</v>
      </c>
      <c r="C61" s="1" t="s">
        <v>370</v>
      </c>
      <c r="D61" s="1" t="s">
        <v>1</v>
      </c>
      <c r="E61">
        <f t="shared" si="0"/>
        <v>2.4526767219708394E-3</v>
      </c>
      <c r="F61" s="1" t="s">
        <v>371</v>
      </c>
      <c r="G61" s="1" t="s">
        <v>372</v>
      </c>
      <c r="H61" s="1" t="s">
        <v>373</v>
      </c>
      <c r="I61" s="1" t="s">
        <v>374</v>
      </c>
      <c r="J61" s="1" t="s">
        <v>1</v>
      </c>
      <c r="K61" s="1" t="s">
        <v>16</v>
      </c>
    </row>
    <row r="62" spans="1:11" ht="15">
      <c r="A62" s="1" t="s">
        <v>375</v>
      </c>
      <c r="B62" s="1" t="s">
        <v>376</v>
      </c>
      <c r="C62" s="1" t="s">
        <v>377</v>
      </c>
      <c r="D62" s="1" t="s">
        <v>1</v>
      </c>
      <c r="E62">
        <f t="shared" si="0"/>
        <v>3.9128305681246853E-3</v>
      </c>
      <c r="F62" s="1" t="s">
        <v>378</v>
      </c>
      <c r="G62" s="1" t="s">
        <v>379</v>
      </c>
      <c r="H62" s="1" t="s">
        <v>380</v>
      </c>
      <c r="I62" s="1" t="s">
        <v>381</v>
      </c>
      <c r="J62" s="1" t="s">
        <v>1</v>
      </c>
      <c r="K62" s="1" t="s">
        <v>9</v>
      </c>
    </row>
    <row r="63" spans="1:11" ht="15">
      <c r="A63" s="1" t="s">
        <v>382</v>
      </c>
      <c r="B63" s="1" t="s">
        <v>383</v>
      </c>
      <c r="C63" s="1" t="s">
        <v>384</v>
      </c>
      <c r="D63" s="1" t="s">
        <v>1</v>
      </c>
      <c r="E63">
        <f t="shared" si="0"/>
        <v>3.6646998491704372E-5</v>
      </c>
      <c r="F63" s="1" t="s">
        <v>385</v>
      </c>
      <c r="G63" s="1" t="s">
        <v>386</v>
      </c>
      <c r="H63" s="1" t="s">
        <v>387</v>
      </c>
      <c r="I63" s="1" t="s">
        <v>388</v>
      </c>
      <c r="J63" s="1" t="s">
        <v>1</v>
      </c>
      <c r="K63" s="1" t="s">
        <v>9</v>
      </c>
    </row>
    <row r="64" spans="1:11" ht="15">
      <c r="A64" s="1" t="s">
        <v>389</v>
      </c>
      <c r="B64" s="1" t="s">
        <v>390</v>
      </c>
      <c r="C64" s="1" t="s">
        <v>391</v>
      </c>
      <c r="D64" s="1" t="s">
        <v>9</v>
      </c>
      <c r="E64">
        <f t="shared" si="0"/>
        <v>2.2618069381598795E-3</v>
      </c>
      <c r="F64" s="1" t="s">
        <v>393</v>
      </c>
      <c r="G64" s="1" t="s">
        <v>40</v>
      </c>
      <c r="H64" s="1" t="s">
        <v>394</v>
      </c>
      <c r="I64" s="1" t="s">
        <v>395</v>
      </c>
      <c r="J64" s="1" t="s">
        <v>1</v>
      </c>
      <c r="K64" s="1" t="s">
        <v>9</v>
      </c>
    </row>
    <row r="65" spans="1:11" ht="15">
      <c r="A65" s="1" t="s">
        <v>396</v>
      </c>
      <c r="B65" s="1" t="s">
        <v>397</v>
      </c>
      <c r="C65" s="1" t="s">
        <v>391</v>
      </c>
      <c r="D65" s="1" t="s">
        <v>9</v>
      </c>
      <c r="E65">
        <f t="shared" si="0"/>
        <v>2.2618069381598795E-3</v>
      </c>
      <c r="F65" s="1" t="s">
        <v>393</v>
      </c>
      <c r="G65" s="1" t="s">
        <v>398</v>
      </c>
      <c r="H65" s="1" t="s">
        <v>399</v>
      </c>
      <c r="I65" s="1" t="s">
        <v>262</v>
      </c>
      <c r="J65" s="1" t="s">
        <v>1</v>
      </c>
      <c r="K65" s="1" t="s">
        <v>9</v>
      </c>
    </row>
    <row r="66" spans="1:11" ht="15">
      <c r="A66" s="1" t="s">
        <v>400</v>
      </c>
      <c r="B66" s="1" t="s">
        <v>401</v>
      </c>
      <c r="C66" s="1" t="s">
        <v>402</v>
      </c>
      <c r="D66" s="1" t="s">
        <v>1</v>
      </c>
      <c r="E66">
        <f t="shared" si="0"/>
        <v>2.6721769733534446E-4</v>
      </c>
      <c r="F66" s="1" t="s">
        <v>255</v>
      </c>
      <c r="G66" s="1" t="s">
        <v>403</v>
      </c>
      <c r="H66" s="1" t="s">
        <v>404</v>
      </c>
      <c r="I66" s="1" t="s">
        <v>405</v>
      </c>
      <c r="J66" s="1" t="s">
        <v>9</v>
      </c>
      <c r="K66" s="1" t="s">
        <v>9</v>
      </c>
    </row>
    <row r="67" spans="1:11" ht="15">
      <c r="A67" s="1" t="s">
        <v>406</v>
      </c>
      <c r="B67" s="1" t="s">
        <v>407</v>
      </c>
      <c r="C67" s="1" t="s">
        <v>408</v>
      </c>
      <c r="D67" s="1" t="s">
        <v>1</v>
      </c>
      <c r="E67">
        <f t="shared" ref="E67:E111" si="1">F67*1.8982/1000/1.989</f>
        <v>2.7008074409250881E-3</v>
      </c>
      <c r="F67" s="1" t="s">
        <v>409</v>
      </c>
      <c r="G67" s="1" t="s">
        <v>410</v>
      </c>
      <c r="H67" s="1" t="s">
        <v>411</v>
      </c>
      <c r="I67" s="1" t="s">
        <v>152</v>
      </c>
      <c r="J67" s="1" t="s">
        <v>9</v>
      </c>
      <c r="K67" s="1" t="s">
        <v>16</v>
      </c>
    </row>
    <row r="68" spans="1:11" ht="15">
      <c r="A68" s="1" t="s">
        <v>412</v>
      </c>
      <c r="B68" s="1" t="s">
        <v>413</v>
      </c>
      <c r="C68" s="1" t="s">
        <v>414</v>
      </c>
      <c r="D68" s="1" t="s">
        <v>1</v>
      </c>
      <c r="E68">
        <f t="shared" si="1"/>
        <v>6.0028547008547008E-3</v>
      </c>
      <c r="F68" s="1" t="s">
        <v>415</v>
      </c>
      <c r="G68" s="1" t="s">
        <v>237</v>
      </c>
      <c r="H68" s="1" t="s">
        <v>416</v>
      </c>
      <c r="I68" s="1" t="s">
        <v>417</v>
      </c>
      <c r="J68" s="1" t="s">
        <v>9</v>
      </c>
      <c r="K68" s="1" t="s">
        <v>16</v>
      </c>
    </row>
    <row r="69" spans="1:11" ht="15">
      <c r="A69" s="1" t="s">
        <v>418</v>
      </c>
      <c r="B69" s="1" t="s">
        <v>419</v>
      </c>
      <c r="C69" s="1" t="s">
        <v>420</v>
      </c>
      <c r="D69" s="1" t="s">
        <v>1</v>
      </c>
      <c r="E69">
        <f t="shared" si="1"/>
        <v>6.4895726495726503E-4</v>
      </c>
      <c r="F69" s="1" t="s">
        <v>421</v>
      </c>
      <c r="G69" s="1" t="s">
        <v>422</v>
      </c>
      <c r="H69" s="1" t="s">
        <v>423</v>
      </c>
      <c r="I69" s="1" t="s">
        <v>424</v>
      </c>
      <c r="J69" s="1" t="s">
        <v>9</v>
      </c>
      <c r="K69" s="1" t="s">
        <v>9</v>
      </c>
    </row>
    <row r="70" spans="1:11" ht="15">
      <c r="A70" s="1" t="s">
        <v>425</v>
      </c>
      <c r="B70" s="1" t="s">
        <v>426</v>
      </c>
      <c r="C70" s="1" t="s">
        <v>427</v>
      </c>
      <c r="D70" s="1" t="s">
        <v>9</v>
      </c>
      <c r="E70">
        <f t="shared" si="1"/>
        <v>8.3028355957767716E-5</v>
      </c>
      <c r="F70" s="1" t="s">
        <v>428</v>
      </c>
      <c r="G70" s="1" t="s">
        <v>429</v>
      </c>
      <c r="H70" s="1" t="s">
        <v>430</v>
      </c>
      <c r="I70" s="1" t="s">
        <v>262</v>
      </c>
      <c r="J70" s="1" t="s">
        <v>9</v>
      </c>
      <c r="K70" s="1" t="s">
        <v>9</v>
      </c>
    </row>
    <row r="71" spans="1:11" ht="15">
      <c r="A71" s="1" t="s">
        <v>431</v>
      </c>
      <c r="B71" s="1" t="s">
        <v>432</v>
      </c>
      <c r="C71" s="1" t="s">
        <v>427</v>
      </c>
      <c r="D71" s="1" t="s">
        <v>9</v>
      </c>
      <c r="E71">
        <f t="shared" si="1"/>
        <v>3.4261126194067368E-4</v>
      </c>
      <c r="F71" s="1" t="s">
        <v>433</v>
      </c>
      <c r="G71" s="1" t="s">
        <v>88</v>
      </c>
      <c r="H71" s="1" t="s">
        <v>434</v>
      </c>
      <c r="I71" s="1" t="s">
        <v>435</v>
      </c>
      <c r="J71" s="1" t="s">
        <v>9</v>
      </c>
      <c r="K71" s="1" t="s">
        <v>9</v>
      </c>
    </row>
    <row r="72" spans="1:11" ht="15">
      <c r="A72" s="1">
        <v>71</v>
      </c>
      <c r="B72" s="2" t="s">
        <v>647</v>
      </c>
      <c r="C72" s="2">
        <v>750</v>
      </c>
      <c r="D72" s="1">
        <v>4</v>
      </c>
      <c r="E72">
        <f t="shared" si="1"/>
        <v>5.9169632981397686E-4</v>
      </c>
      <c r="F72" s="1">
        <v>0.62</v>
      </c>
      <c r="G72" s="1">
        <v>5.8999999999999997E-2</v>
      </c>
      <c r="H72" s="1">
        <v>4.6170999999999998</v>
      </c>
      <c r="I72" s="1">
        <v>1.2999999999999999E-2</v>
      </c>
      <c r="J72" s="1" t="s">
        <v>9</v>
      </c>
      <c r="K72" s="1" t="s">
        <v>9</v>
      </c>
    </row>
    <row r="73" spans="1:11" ht="15">
      <c r="A73" s="1" t="s">
        <v>436</v>
      </c>
      <c r="B73" s="1" t="s">
        <v>437</v>
      </c>
      <c r="C73" s="1" t="s">
        <v>438</v>
      </c>
      <c r="D73" s="1" t="s">
        <v>22</v>
      </c>
      <c r="E73">
        <f t="shared" si="1"/>
        <v>1.7178280542986426E-3</v>
      </c>
      <c r="F73" s="1" t="s">
        <v>125</v>
      </c>
      <c r="G73" s="1" t="s">
        <v>439</v>
      </c>
      <c r="H73" s="1" t="s">
        <v>440</v>
      </c>
      <c r="I73" s="1" t="s">
        <v>127</v>
      </c>
      <c r="J73" s="1" t="s">
        <v>9</v>
      </c>
      <c r="K73" s="1" t="s">
        <v>9</v>
      </c>
    </row>
    <row r="74" spans="1:11" ht="15">
      <c r="A74" s="1" t="s">
        <v>441</v>
      </c>
      <c r="B74" s="1" t="s">
        <v>442</v>
      </c>
      <c r="C74" s="1" t="s">
        <v>438</v>
      </c>
      <c r="D74" s="1" t="s">
        <v>22</v>
      </c>
      <c r="E74">
        <f t="shared" si="1"/>
        <v>9.7248154851684258E-3</v>
      </c>
      <c r="F74" s="1" t="s">
        <v>443</v>
      </c>
      <c r="G74" s="1" t="s">
        <v>444</v>
      </c>
      <c r="H74" s="1" t="s">
        <v>445</v>
      </c>
      <c r="I74" s="1" t="s">
        <v>446</v>
      </c>
      <c r="J74" s="1" t="s">
        <v>9</v>
      </c>
      <c r="K74" s="1" t="s">
        <v>9</v>
      </c>
    </row>
    <row r="75" spans="1:11" ht="15">
      <c r="A75" s="1" t="s">
        <v>447</v>
      </c>
      <c r="B75" s="1" t="s">
        <v>448</v>
      </c>
      <c r="C75" s="1" t="s">
        <v>438</v>
      </c>
      <c r="D75" s="1" t="s">
        <v>22</v>
      </c>
      <c r="E75">
        <f t="shared" si="1"/>
        <v>1.0106555052790348E-3</v>
      </c>
      <c r="F75" s="1" t="s">
        <v>449</v>
      </c>
      <c r="G75" s="1" t="s">
        <v>450</v>
      </c>
      <c r="H75" s="1" t="s">
        <v>451</v>
      </c>
      <c r="I75" s="1" t="s">
        <v>452</v>
      </c>
      <c r="J75" s="1" t="s">
        <v>9</v>
      </c>
      <c r="K75" s="1" t="s">
        <v>9</v>
      </c>
    </row>
    <row r="76" spans="1:11" ht="15">
      <c r="A76" s="1" t="s">
        <v>453</v>
      </c>
      <c r="B76" s="1" t="s">
        <v>454</v>
      </c>
      <c r="C76" s="1" t="s">
        <v>455</v>
      </c>
      <c r="D76" s="1" t="s">
        <v>1</v>
      </c>
      <c r="E76">
        <f t="shared" si="1"/>
        <v>4.4854399195575666E-4</v>
      </c>
      <c r="F76" s="1" t="s">
        <v>331</v>
      </c>
      <c r="G76" s="1" t="s">
        <v>71</v>
      </c>
      <c r="H76" s="1" t="s">
        <v>456</v>
      </c>
      <c r="I76" s="1" t="s">
        <v>457</v>
      </c>
      <c r="J76" s="1" t="s">
        <v>9</v>
      </c>
      <c r="K76" s="1" t="s">
        <v>9</v>
      </c>
    </row>
    <row r="77" spans="1:11" ht="15">
      <c r="A77" s="1" t="s">
        <v>458</v>
      </c>
      <c r="B77" s="1" t="s">
        <v>459</v>
      </c>
      <c r="C77" s="1" t="s">
        <v>460</v>
      </c>
      <c r="D77" s="1" t="s">
        <v>1</v>
      </c>
      <c r="E77">
        <f t="shared" si="1"/>
        <v>1.2024796380090499E-3</v>
      </c>
      <c r="F77" s="1" t="s">
        <v>461</v>
      </c>
      <c r="G77" s="1" t="s">
        <v>398</v>
      </c>
      <c r="H77" s="1" t="s">
        <v>462</v>
      </c>
      <c r="I77" s="1" t="s">
        <v>137</v>
      </c>
      <c r="J77" s="1" t="s">
        <v>9</v>
      </c>
      <c r="K77" s="1" t="s">
        <v>9</v>
      </c>
    </row>
    <row r="78" spans="1:11" ht="15">
      <c r="A78" s="1" t="s">
        <v>463</v>
      </c>
      <c r="B78" s="1" t="s">
        <v>464</v>
      </c>
      <c r="C78" s="1" t="s">
        <v>465</v>
      </c>
      <c r="D78" s="1" t="s">
        <v>1</v>
      </c>
      <c r="E78">
        <f t="shared" si="1"/>
        <v>7.4152911010558079E-5</v>
      </c>
      <c r="F78" s="1" t="s">
        <v>466</v>
      </c>
      <c r="G78" s="1" t="s">
        <v>467</v>
      </c>
      <c r="H78" s="1" t="s">
        <v>468</v>
      </c>
      <c r="I78" s="1" t="s">
        <v>405</v>
      </c>
      <c r="J78" s="1" t="s">
        <v>9</v>
      </c>
      <c r="K78" s="1" t="s">
        <v>9</v>
      </c>
    </row>
    <row r="79" spans="1:11" ht="15">
      <c r="A79" s="1" t="s">
        <v>469</v>
      </c>
      <c r="B79" s="1" t="s">
        <v>470</v>
      </c>
      <c r="C79" s="1" t="s">
        <v>471</v>
      </c>
      <c r="D79" s="1" t="s">
        <v>22</v>
      </c>
      <c r="E79">
        <f t="shared" si="1"/>
        <v>4.7240271493212676E-3</v>
      </c>
      <c r="F79" s="1" t="s">
        <v>472</v>
      </c>
      <c r="G79" s="1" t="s">
        <v>125</v>
      </c>
      <c r="H79" s="1" t="s">
        <v>473</v>
      </c>
      <c r="I79" s="1" t="s">
        <v>474</v>
      </c>
      <c r="J79" s="1" t="s">
        <v>9</v>
      </c>
      <c r="K79" s="1" t="s">
        <v>9</v>
      </c>
    </row>
    <row r="80" spans="1:11" ht="15">
      <c r="A80" s="1" t="s">
        <v>475</v>
      </c>
      <c r="B80" s="1" t="s">
        <v>476</v>
      </c>
      <c r="C80" s="1" t="s">
        <v>471</v>
      </c>
      <c r="D80" s="1" t="s">
        <v>22</v>
      </c>
      <c r="E80">
        <f t="shared" si="1"/>
        <v>2.8630467571644043E-3</v>
      </c>
      <c r="F80" s="1" t="s">
        <v>16</v>
      </c>
      <c r="G80" s="1" t="s">
        <v>477</v>
      </c>
      <c r="H80" s="1" t="s">
        <v>478</v>
      </c>
      <c r="I80" s="1" t="s">
        <v>4</v>
      </c>
      <c r="J80" s="1" t="s">
        <v>9</v>
      </c>
      <c r="K80" s="1" t="s">
        <v>9</v>
      </c>
    </row>
    <row r="81" spans="1:11" ht="15">
      <c r="A81" s="1" t="s">
        <v>479</v>
      </c>
      <c r="B81" s="1" t="s">
        <v>480</v>
      </c>
      <c r="C81" s="1" t="s">
        <v>471</v>
      </c>
      <c r="D81" s="1" t="s">
        <v>22</v>
      </c>
      <c r="E81">
        <f t="shared" si="1"/>
        <v>1.336088486676722E-5</v>
      </c>
      <c r="F81" s="1" t="s">
        <v>183</v>
      </c>
      <c r="G81" s="1" t="s">
        <v>481</v>
      </c>
      <c r="H81" s="1" t="s">
        <v>482</v>
      </c>
      <c r="I81" s="1" t="s">
        <v>137</v>
      </c>
      <c r="J81" s="1" t="s">
        <v>9</v>
      </c>
      <c r="K81" s="1" t="s">
        <v>9</v>
      </c>
    </row>
    <row r="82" spans="1:11" ht="15">
      <c r="A82" s="1" t="s">
        <v>483</v>
      </c>
      <c r="B82" s="1" t="s">
        <v>484</v>
      </c>
      <c r="C82" s="1" t="s">
        <v>471</v>
      </c>
      <c r="D82" s="1" t="s">
        <v>22</v>
      </c>
      <c r="E82">
        <f t="shared" si="1"/>
        <v>3.435656108597285E-5</v>
      </c>
      <c r="F82" s="1" t="s">
        <v>228</v>
      </c>
      <c r="G82" s="1" t="s">
        <v>485</v>
      </c>
      <c r="H82" s="1" t="s">
        <v>486</v>
      </c>
      <c r="I82" s="1" t="s">
        <v>127</v>
      </c>
      <c r="J82" s="1" t="s">
        <v>9</v>
      </c>
      <c r="K82" s="1" t="s">
        <v>9</v>
      </c>
    </row>
    <row r="83" spans="1:11" ht="15">
      <c r="A83" s="1" t="s">
        <v>487</v>
      </c>
      <c r="B83" s="1" t="s">
        <v>488</v>
      </c>
      <c r="C83" s="1" t="s">
        <v>489</v>
      </c>
      <c r="D83" s="1" t="s">
        <v>1</v>
      </c>
      <c r="E83">
        <f t="shared" si="1"/>
        <v>4.8671794871794878E-3</v>
      </c>
      <c r="F83" s="1" t="s">
        <v>490</v>
      </c>
      <c r="G83" s="1" t="s">
        <v>491</v>
      </c>
      <c r="H83" s="1" t="s">
        <v>492</v>
      </c>
      <c r="I83" s="1" t="s">
        <v>493</v>
      </c>
      <c r="J83" s="1" t="s">
        <v>9</v>
      </c>
      <c r="K83" s="1" t="s">
        <v>9</v>
      </c>
    </row>
    <row r="84" spans="1:11" ht="15">
      <c r="A84" s="1" t="s">
        <v>494</v>
      </c>
      <c r="B84" s="1" t="s">
        <v>495</v>
      </c>
      <c r="C84" s="1" t="s">
        <v>496</v>
      </c>
      <c r="D84" s="1" t="s">
        <v>29</v>
      </c>
      <c r="E84">
        <f t="shared" si="1"/>
        <v>7.6347913524384115E-4</v>
      </c>
      <c r="F84" s="1" t="s">
        <v>497</v>
      </c>
      <c r="G84" s="1" t="s">
        <v>498</v>
      </c>
      <c r="H84" s="1" t="s">
        <v>499</v>
      </c>
      <c r="I84" s="1" t="s">
        <v>271</v>
      </c>
      <c r="J84" s="1" t="s">
        <v>9</v>
      </c>
      <c r="K84" s="1" t="s">
        <v>9</v>
      </c>
    </row>
    <row r="85" spans="1:11" ht="15">
      <c r="A85" s="1" t="s">
        <v>500</v>
      </c>
      <c r="B85" s="1" t="s">
        <v>501</v>
      </c>
      <c r="C85" s="1" t="s">
        <v>496</v>
      </c>
      <c r="D85" s="1" t="s">
        <v>29</v>
      </c>
      <c r="E85">
        <f t="shared" si="1"/>
        <v>1.6128496732026144E-4</v>
      </c>
      <c r="F85" s="1" t="s">
        <v>502</v>
      </c>
      <c r="G85" s="1" t="s">
        <v>503</v>
      </c>
      <c r="H85" s="1" t="s">
        <v>504</v>
      </c>
      <c r="I85" s="1" t="s">
        <v>505</v>
      </c>
      <c r="J85" s="1" t="s">
        <v>9</v>
      </c>
      <c r="K85" s="1" t="s">
        <v>9</v>
      </c>
    </row>
    <row r="86" spans="1:11" ht="15">
      <c r="A86" s="1" t="s">
        <v>506</v>
      </c>
      <c r="B86" s="1" t="s">
        <v>507</v>
      </c>
      <c r="C86" s="1" t="s">
        <v>496</v>
      </c>
      <c r="D86" s="1" t="s">
        <v>29</v>
      </c>
      <c r="E86">
        <f t="shared" si="1"/>
        <v>3.6599281045751634E-3</v>
      </c>
      <c r="F86" s="1" t="s">
        <v>508</v>
      </c>
      <c r="G86" s="1" t="s">
        <v>509</v>
      </c>
      <c r="H86" s="1" t="s">
        <v>510</v>
      </c>
      <c r="I86" s="1" t="s">
        <v>511</v>
      </c>
      <c r="J86" s="1" t="s">
        <v>9</v>
      </c>
      <c r="K86" s="1" t="s">
        <v>9</v>
      </c>
    </row>
    <row r="87" spans="1:11" ht="15">
      <c r="A87" s="1" t="s">
        <v>512</v>
      </c>
      <c r="B87" s="1" t="s">
        <v>513</v>
      </c>
      <c r="C87" s="1" t="s">
        <v>496</v>
      </c>
      <c r="D87" s="1" t="s">
        <v>29</v>
      </c>
      <c r="E87">
        <f t="shared" si="1"/>
        <v>1.374262443438914E-4</v>
      </c>
      <c r="F87" s="1" t="s">
        <v>514</v>
      </c>
      <c r="G87" s="1" t="s">
        <v>515</v>
      </c>
      <c r="H87" s="1" t="s">
        <v>516</v>
      </c>
      <c r="I87" s="1" t="s">
        <v>517</v>
      </c>
      <c r="J87" s="1" t="s">
        <v>9</v>
      </c>
      <c r="K87" s="1" t="s">
        <v>9</v>
      </c>
    </row>
    <row r="88" spans="1:11" ht="15">
      <c r="A88" s="1" t="s">
        <v>518</v>
      </c>
      <c r="B88" s="1" t="s">
        <v>519</v>
      </c>
      <c r="C88" s="1" t="s">
        <v>520</v>
      </c>
      <c r="D88" s="1" t="s">
        <v>1</v>
      </c>
      <c r="E88">
        <f t="shared" si="1"/>
        <v>1.6033061840120663E-3</v>
      </c>
      <c r="F88" s="1" t="s">
        <v>216</v>
      </c>
      <c r="G88" s="1" t="s">
        <v>216</v>
      </c>
      <c r="H88" s="1" t="s">
        <v>521</v>
      </c>
      <c r="I88" s="1" t="s">
        <v>522</v>
      </c>
      <c r="J88" s="1" t="s">
        <v>9</v>
      </c>
      <c r="K88" s="1" t="s">
        <v>16</v>
      </c>
    </row>
    <row r="89" spans="1:11" ht="15">
      <c r="A89" s="1" t="s">
        <v>523</v>
      </c>
      <c r="B89" s="1" t="s">
        <v>524</v>
      </c>
      <c r="C89" s="1" t="s">
        <v>525</v>
      </c>
      <c r="D89" s="1" t="s">
        <v>9</v>
      </c>
      <c r="E89">
        <f t="shared" si="1"/>
        <v>5.9360502765208644E-4</v>
      </c>
      <c r="F89" s="1" t="s">
        <v>526</v>
      </c>
      <c r="G89" s="1" t="s">
        <v>527</v>
      </c>
      <c r="H89" s="1" t="s">
        <v>528</v>
      </c>
      <c r="I89" s="1" t="s">
        <v>84</v>
      </c>
      <c r="J89" s="1" t="s">
        <v>9</v>
      </c>
      <c r="K89" s="1" t="s">
        <v>9</v>
      </c>
    </row>
    <row r="90" spans="1:11" ht="15">
      <c r="A90" s="1" t="s">
        <v>529</v>
      </c>
      <c r="B90" s="1" t="s">
        <v>530</v>
      </c>
      <c r="C90" s="1" t="s">
        <v>525</v>
      </c>
      <c r="D90" s="1" t="s">
        <v>9</v>
      </c>
      <c r="E90">
        <f t="shared" si="1"/>
        <v>7.5393564605329301E-5</v>
      </c>
      <c r="F90" s="1" t="s">
        <v>531</v>
      </c>
      <c r="G90" s="1" t="s">
        <v>532</v>
      </c>
      <c r="H90" s="1" t="s">
        <v>533</v>
      </c>
      <c r="I90" s="1" t="s">
        <v>219</v>
      </c>
      <c r="J90" s="1" t="s">
        <v>9</v>
      </c>
      <c r="K90" s="1" t="s">
        <v>9</v>
      </c>
    </row>
    <row r="91" spans="1:11" ht="15">
      <c r="A91" s="1" t="s">
        <v>534</v>
      </c>
      <c r="B91" s="1" t="s">
        <v>535</v>
      </c>
      <c r="C91" s="1" t="s">
        <v>536</v>
      </c>
      <c r="D91" s="1" t="s">
        <v>1</v>
      </c>
      <c r="E91">
        <f t="shared" si="1"/>
        <v>2.8630467571644035E-4</v>
      </c>
      <c r="F91" s="1" t="s">
        <v>219</v>
      </c>
      <c r="G91" s="1" t="s">
        <v>537</v>
      </c>
      <c r="H91" s="1" t="s">
        <v>538</v>
      </c>
      <c r="I91" s="1" t="s">
        <v>69</v>
      </c>
      <c r="J91" s="1" t="s">
        <v>9</v>
      </c>
      <c r="K91" s="1" t="s">
        <v>9</v>
      </c>
    </row>
    <row r="92" spans="1:11" ht="15">
      <c r="A92" s="1" t="s">
        <v>539</v>
      </c>
      <c r="B92" s="1" t="s">
        <v>540</v>
      </c>
      <c r="C92" s="1" t="s">
        <v>541</v>
      </c>
      <c r="D92" s="1" t="s">
        <v>1</v>
      </c>
      <c r="E92">
        <f t="shared" si="1"/>
        <v>3.0539165409753646E-3</v>
      </c>
      <c r="F92" s="1" t="s">
        <v>542</v>
      </c>
      <c r="G92" s="1" t="s">
        <v>543</v>
      </c>
      <c r="H92" s="1" t="s">
        <v>544</v>
      </c>
      <c r="I92" s="1" t="s">
        <v>274</v>
      </c>
      <c r="J92" s="1" t="s">
        <v>9</v>
      </c>
      <c r="K92" s="1" t="s">
        <v>16</v>
      </c>
    </row>
    <row r="93" spans="1:11" ht="15">
      <c r="A93" s="1" t="s">
        <v>545</v>
      </c>
      <c r="B93" s="1" t="s">
        <v>546</v>
      </c>
      <c r="C93" s="1" t="s">
        <v>547</v>
      </c>
      <c r="D93" s="1" t="s">
        <v>9</v>
      </c>
      <c r="E93">
        <f t="shared" si="1"/>
        <v>6.8713122171945706E-3</v>
      </c>
      <c r="F93" s="1" t="s">
        <v>261</v>
      </c>
      <c r="G93" s="1" t="s">
        <v>548</v>
      </c>
      <c r="H93" s="1" t="s">
        <v>549</v>
      </c>
      <c r="I93" s="1" t="s">
        <v>543</v>
      </c>
      <c r="J93" s="1" t="s">
        <v>9</v>
      </c>
      <c r="K93" s="1" t="s">
        <v>9</v>
      </c>
    </row>
    <row r="94" spans="1:11" ht="15">
      <c r="A94" s="1" t="s">
        <v>115</v>
      </c>
      <c r="B94" s="1" t="s">
        <v>550</v>
      </c>
      <c r="C94" s="1" t="s">
        <v>547</v>
      </c>
      <c r="D94" s="1" t="s">
        <v>9</v>
      </c>
      <c r="E94">
        <f t="shared" si="1"/>
        <v>3.0539165409753646E-3</v>
      </c>
      <c r="F94" s="1" t="s">
        <v>542</v>
      </c>
      <c r="G94" s="1" t="s">
        <v>551</v>
      </c>
      <c r="H94" s="1" t="s">
        <v>552</v>
      </c>
      <c r="I94" s="1" t="s">
        <v>64</v>
      </c>
      <c r="J94" s="1" t="s">
        <v>9</v>
      </c>
      <c r="K94" s="1" t="s">
        <v>9</v>
      </c>
    </row>
    <row r="95" spans="1:11" ht="15">
      <c r="A95" s="1" t="s">
        <v>553</v>
      </c>
      <c r="B95" s="1" t="s">
        <v>554</v>
      </c>
      <c r="C95" s="1" t="s">
        <v>555</v>
      </c>
      <c r="D95" s="1" t="s">
        <v>9</v>
      </c>
      <c r="E95">
        <f t="shared" si="1"/>
        <v>1.4334320764203118E-3</v>
      </c>
      <c r="F95" s="1" t="s">
        <v>556</v>
      </c>
      <c r="G95" s="1" t="s">
        <v>557</v>
      </c>
      <c r="H95" s="1" t="s">
        <v>558</v>
      </c>
      <c r="I95" s="1" t="s">
        <v>559</v>
      </c>
      <c r="J95" s="1" t="s">
        <v>9</v>
      </c>
      <c r="K95" s="1" t="s">
        <v>9</v>
      </c>
    </row>
    <row r="96" spans="1:11" ht="15">
      <c r="A96" s="1" t="s">
        <v>560</v>
      </c>
      <c r="B96" s="1" t="s">
        <v>561</v>
      </c>
      <c r="C96" s="1" t="s">
        <v>555</v>
      </c>
      <c r="D96" s="1" t="s">
        <v>9</v>
      </c>
      <c r="E96">
        <f t="shared" si="1"/>
        <v>5.4397888386123679E-5</v>
      </c>
      <c r="F96" s="1" t="s">
        <v>562</v>
      </c>
      <c r="G96" s="1" t="s">
        <v>563</v>
      </c>
      <c r="H96" s="1" t="s">
        <v>564</v>
      </c>
      <c r="I96" s="1" t="s">
        <v>405</v>
      </c>
      <c r="J96" s="1" t="s">
        <v>9</v>
      </c>
      <c r="K96" s="1" t="s">
        <v>9</v>
      </c>
    </row>
    <row r="97" spans="1:11" ht="15">
      <c r="A97" s="1" t="s">
        <v>565</v>
      </c>
      <c r="B97" s="1" t="s">
        <v>566</v>
      </c>
      <c r="C97" s="1" t="s">
        <v>567</v>
      </c>
      <c r="D97" s="1" t="s">
        <v>1</v>
      </c>
      <c r="E97">
        <f t="shared" si="1"/>
        <v>4.294570135746606E-3</v>
      </c>
      <c r="F97" s="1" t="s">
        <v>568</v>
      </c>
      <c r="G97" s="1" t="s">
        <v>569</v>
      </c>
      <c r="H97" s="1" t="s">
        <v>570</v>
      </c>
      <c r="I97" s="1" t="s">
        <v>571</v>
      </c>
      <c r="J97" s="1" t="s">
        <v>9</v>
      </c>
      <c r="K97" s="1" t="s">
        <v>16</v>
      </c>
    </row>
    <row r="98" spans="1:11" ht="15">
      <c r="A98" s="1" t="s">
        <v>572</v>
      </c>
      <c r="B98" s="1" t="s">
        <v>573</v>
      </c>
      <c r="C98" s="1" t="s">
        <v>574</v>
      </c>
      <c r="D98" s="1" t="s">
        <v>9</v>
      </c>
      <c r="E98">
        <f t="shared" si="1"/>
        <v>2.4717637003519356E-4</v>
      </c>
      <c r="F98" s="1" t="s">
        <v>575</v>
      </c>
      <c r="G98" s="1" t="s">
        <v>576</v>
      </c>
      <c r="H98" s="1" t="s">
        <v>577</v>
      </c>
      <c r="I98" s="1" t="s">
        <v>578</v>
      </c>
      <c r="J98" s="1" t="s">
        <v>9</v>
      </c>
      <c r="K98" s="1" t="s">
        <v>9</v>
      </c>
    </row>
    <row r="99" spans="1:11" ht="15">
      <c r="A99" s="1" t="s">
        <v>579</v>
      </c>
      <c r="B99" s="1" t="s">
        <v>580</v>
      </c>
      <c r="C99" s="1" t="s">
        <v>574</v>
      </c>
      <c r="D99" s="1" t="s">
        <v>9</v>
      </c>
      <c r="E99">
        <f t="shared" si="1"/>
        <v>1.3074580191050783E-3</v>
      </c>
      <c r="F99" s="1" t="s">
        <v>242</v>
      </c>
      <c r="G99" s="1" t="s">
        <v>581</v>
      </c>
      <c r="H99" s="1" t="s">
        <v>392</v>
      </c>
      <c r="I99" s="1" t="s">
        <v>582</v>
      </c>
      <c r="J99" s="1" t="s">
        <v>9</v>
      </c>
      <c r="K99" s="1" t="s">
        <v>9</v>
      </c>
    </row>
    <row r="100" spans="1:11" ht="15">
      <c r="A100" s="1" t="s">
        <v>583</v>
      </c>
      <c r="B100" s="1" t="s">
        <v>584</v>
      </c>
      <c r="C100" s="1" t="s">
        <v>585</v>
      </c>
      <c r="D100" s="1" t="s">
        <v>1</v>
      </c>
      <c r="E100">
        <f t="shared" si="1"/>
        <v>7.3962041226747106E-3</v>
      </c>
      <c r="F100" s="1" t="s">
        <v>586</v>
      </c>
      <c r="G100" s="1" t="s">
        <v>293</v>
      </c>
      <c r="H100" s="1" t="s">
        <v>587</v>
      </c>
      <c r="I100" s="1" t="s">
        <v>588</v>
      </c>
      <c r="J100" s="1" t="s">
        <v>9</v>
      </c>
      <c r="K100" s="1" t="s">
        <v>9</v>
      </c>
    </row>
    <row r="101" spans="1:11" ht="15">
      <c r="A101" s="1" t="s">
        <v>589</v>
      </c>
      <c r="B101" s="1" t="s">
        <v>590</v>
      </c>
      <c r="C101" s="1" t="s">
        <v>585</v>
      </c>
      <c r="D101" s="1" t="s">
        <v>16</v>
      </c>
      <c r="E101">
        <f t="shared" si="1"/>
        <v>2.8630467571644043E-3</v>
      </c>
      <c r="F101" s="1" t="s">
        <v>16</v>
      </c>
      <c r="G101" s="1" t="s">
        <v>242</v>
      </c>
      <c r="H101" s="1" t="s">
        <v>591</v>
      </c>
      <c r="I101" s="1" t="s">
        <v>347</v>
      </c>
      <c r="J101" s="1" t="s">
        <v>9</v>
      </c>
      <c r="K101" s="1" t="s">
        <v>9</v>
      </c>
    </row>
    <row r="102" spans="1:11" ht="15">
      <c r="A102" s="1" t="s">
        <v>592</v>
      </c>
      <c r="B102" s="1" t="s">
        <v>593</v>
      </c>
      <c r="C102" s="1" t="s">
        <v>585</v>
      </c>
      <c r="D102" s="1" t="s">
        <v>16</v>
      </c>
      <c r="E102">
        <f t="shared" si="1"/>
        <v>5.5352237305178486E-5</v>
      </c>
      <c r="F102" s="1" t="s">
        <v>57</v>
      </c>
      <c r="G102" s="1" t="s">
        <v>15</v>
      </c>
      <c r="H102" s="1" t="s">
        <v>594</v>
      </c>
      <c r="I102" s="1" t="s">
        <v>119</v>
      </c>
      <c r="J102" s="1" t="s">
        <v>9</v>
      </c>
      <c r="K102" s="1" t="s">
        <v>9</v>
      </c>
    </row>
    <row r="103" spans="1:11" ht="15">
      <c r="A103" s="1" t="s">
        <v>595</v>
      </c>
      <c r="B103" s="1" t="s">
        <v>596</v>
      </c>
      <c r="C103" s="1" t="s">
        <v>585</v>
      </c>
      <c r="D103" s="1" t="s">
        <v>16</v>
      </c>
      <c r="E103">
        <f t="shared" si="1"/>
        <v>6.8713122171945706E-3</v>
      </c>
      <c r="F103" s="1" t="s">
        <v>261</v>
      </c>
      <c r="G103" s="1" t="s">
        <v>597</v>
      </c>
      <c r="H103" s="1" t="s">
        <v>598</v>
      </c>
      <c r="I103" s="1" t="s">
        <v>255</v>
      </c>
      <c r="J103" s="1" t="s">
        <v>9</v>
      </c>
      <c r="K103" s="1" t="s">
        <v>9</v>
      </c>
    </row>
    <row r="104" spans="1:11" ht="15">
      <c r="A104" s="1" t="s">
        <v>599</v>
      </c>
      <c r="B104" s="1" t="s">
        <v>600</v>
      </c>
      <c r="C104" s="1" t="s">
        <v>601</v>
      </c>
      <c r="D104" s="1" t="s">
        <v>1</v>
      </c>
      <c r="E104">
        <f t="shared" si="1"/>
        <v>1.1547621920563096E-3</v>
      </c>
      <c r="F104" s="1" t="s">
        <v>241</v>
      </c>
      <c r="G104" s="1" t="s">
        <v>602</v>
      </c>
      <c r="H104" s="1" t="s">
        <v>603</v>
      </c>
      <c r="I104" s="1" t="s">
        <v>105</v>
      </c>
      <c r="J104" s="1" t="s">
        <v>9</v>
      </c>
      <c r="K104" s="1" t="s">
        <v>9</v>
      </c>
    </row>
    <row r="105" spans="1:11" ht="15">
      <c r="A105" s="1" t="s">
        <v>604</v>
      </c>
      <c r="B105" s="1" t="s">
        <v>605</v>
      </c>
      <c r="C105" s="1" t="s">
        <v>606</v>
      </c>
      <c r="D105" s="1" t="s">
        <v>1</v>
      </c>
      <c r="E105">
        <f t="shared" si="1"/>
        <v>3.1302644544997488E-3</v>
      </c>
      <c r="F105" s="1" t="s">
        <v>607</v>
      </c>
      <c r="G105" s="1" t="s">
        <v>608</v>
      </c>
      <c r="H105" s="1" t="s">
        <v>609</v>
      </c>
      <c r="I105" s="1" t="s">
        <v>610</v>
      </c>
      <c r="J105" s="1" t="s">
        <v>9</v>
      </c>
      <c r="K105" s="1" t="s">
        <v>16</v>
      </c>
    </row>
    <row r="106" spans="1:11" ht="15">
      <c r="A106" s="1" t="s">
        <v>611</v>
      </c>
      <c r="B106" s="1" t="s">
        <v>612</v>
      </c>
      <c r="C106" s="1" t="s">
        <v>613</v>
      </c>
      <c r="D106" s="1" t="s">
        <v>9</v>
      </c>
      <c r="E106">
        <f t="shared" si="1"/>
        <v>2.8630467571644045E-6</v>
      </c>
      <c r="F106" s="1" t="s">
        <v>614</v>
      </c>
      <c r="G106" s="1" t="s">
        <v>615</v>
      </c>
      <c r="H106" s="1" t="s">
        <v>616</v>
      </c>
      <c r="I106" s="1" t="s">
        <v>517</v>
      </c>
      <c r="J106" s="1" t="s">
        <v>9</v>
      </c>
      <c r="K106" s="1" t="s">
        <v>16</v>
      </c>
    </row>
    <row r="107" spans="1:11" ht="15">
      <c r="A107" s="1" t="s">
        <v>617</v>
      </c>
      <c r="B107" s="1" t="s">
        <v>618</v>
      </c>
      <c r="C107" s="1" t="s">
        <v>613</v>
      </c>
      <c r="D107" s="1" t="s">
        <v>9</v>
      </c>
      <c r="E107">
        <f t="shared" si="1"/>
        <v>1.7369150326797389E-5</v>
      </c>
      <c r="F107" s="1" t="s">
        <v>619</v>
      </c>
      <c r="G107" s="1" t="s">
        <v>620</v>
      </c>
      <c r="H107" s="1" t="s">
        <v>621</v>
      </c>
      <c r="I107" s="1" t="s">
        <v>517</v>
      </c>
      <c r="J107" s="1" t="s">
        <v>9</v>
      </c>
      <c r="K107" s="1" t="s">
        <v>16</v>
      </c>
    </row>
    <row r="108" spans="1:11" ht="15">
      <c r="A108" s="1" t="s">
        <v>622</v>
      </c>
      <c r="B108" s="1" t="s">
        <v>668</v>
      </c>
      <c r="C108" s="1" t="s">
        <v>623</v>
      </c>
      <c r="D108" s="1" t="s">
        <v>1</v>
      </c>
      <c r="E108">
        <f t="shared" si="1"/>
        <v>8.5891402714932119E-3</v>
      </c>
      <c r="F108" s="1" t="s">
        <v>58</v>
      </c>
      <c r="G108" s="1" t="s">
        <v>65</v>
      </c>
      <c r="H108" s="1" t="s">
        <v>624</v>
      </c>
      <c r="I108" s="1" t="s">
        <v>625</v>
      </c>
      <c r="J108" s="1" t="s">
        <v>9</v>
      </c>
      <c r="K108" s="1" t="s">
        <v>9</v>
      </c>
    </row>
    <row r="109" spans="1:11" ht="15">
      <c r="A109" s="1" t="s">
        <v>626</v>
      </c>
      <c r="B109" s="1" t="s">
        <v>627</v>
      </c>
      <c r="C109" s="1" t="s">
        <v>628</v>
      </c>
      <c r="D109" s="1" t="s">
        <v>1</v>
      </c>
      <c r="E109">
        <f t="shared" si="1"/>
        <v>1.8132629462041228E-3</v>
      </c>
      <c r="F109" s="1" t="s">
        <v>234</v>
      </c>
      <c r="G109" s="1" t="s">
        <v>629</v>
      </c>
      <c r="H109" s="1" t="s">
        <v>630</v>
      </c>
      <c r="I109" s="1" t="s">
        <v>631</v>
      </c>
      <c r="J109" s="1" t="s">
        <v>9</v>
      </c>
      <c r="K109" s="1" t="s">
        <v>9</v>
      </c>
    </row>
    <row r="110" spans="1:11" ht="15">
      <c r="A110" s="1" t="s">
        <v>632</v>
      </c>
      <c r="B110" s="1" t="s">
        <v>633</v>
      </c>
      <c r="C110" s="1" t="s">
        <v>634</v>
      </c>
      <c r="D110" s="1" t="s">
        <v>9</v>
      </c>
      <c r="E110">
        <f t="shared" si="1"/>
        <v>1.6891975867269985E-2</v>
      </c>
      <c r="F110" s="1" t="s">
        <v>635</v>
      </c>
      <c r="G110" s="1" t="s">
        <v>636</v>
      </c>
      <c r="H110" s="1" t="s">
        <v>637</v>
      </c>
      <c r="I110" s="1" t="s">
        <v>559</v>
      </c>
      <c r="J110" s="1" t="s">
        <v>9</v>
      </c>
      <c r="K110" s="1" t="s">
        <v>9</v>
      </c>
    </row>
    <row r="111" spans="1:11" ht="15">
      <c r="A111" s="1" t="s">
        <v>638</v>
      </c>
      <c r="B111" s="1" t="s">
        <v>639</v>
      </c>
      <c r="C111" s="1" t="s">
        <v>634</v>
      </c>
      <c r="D111" s="1" t="s">
        <v>9</v>
      </c>
      <c r="E111">
        <f t="shared" si="1"/>
        <v>8.3028355957767718E-4</v>
      </c>
      <c r="F111" s="1" t="s">
        <v>640</v>
      </c>
      <c r="G111" s="1" t="s">
        <v>641</v>
      </c>
      <c r="H111" s="1" t="s">
        <v>642</v>
      </c>
      <c r="I111" s="1" t="s">
        <v>610</v>
      </c>
      <c r="J111" s="1" t="s">
        <v>9</v>
      </c>
      <c r="K111" s="1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43A14-7C9C-244B-8BC9-95FCE91D390B}">
  <dimension ref="A1:S111"/>
  <sheetViews>
    <sheetView workbookViewId="0">
      <selection activeCell="B36" sqref="B36:R36"/>
    </sheetView>
  </sheetViews>
  <sheetFormatPr baseColWidth="10" defaultRowHeight="14"/>
  <cols>
    <col min="2" max="2" width="17" customWidth="1"/>
    <col min="15" max="15" width="13.5" customWidth="1"/>
  </cols>
  <sheetData>
    <row r="1" spans="1:18" ht="53" customHeight="1">
      <c r="A1" s="5" t="s">
        <v>643</v>
      </c>
      <c r="B1" s="5" t="s">
        <v>644</v>
      </c>
      <c r="C1" s="5" t="s">
        <v>645</v>
      </c>
      <c r="D1" s="5" t="s">
        <v>646</v>
      </c>
      <c r="E1" s="6" t="s">
        <v>648</v>
      </c>
      <c r="F1" s="6" t="s">
        <v>649</v>
      </c>
      <c r="G1" s="5" t="s">
        <v>650</v>
      </c>
      <c r="H1" s="5" t="s">
        <v>651</v>
      </c>
      <c r="I1" s="5" t="s">
        <v>652</v>
      </c>
      <c r="J1" s="5" t="s">
        <v>0</v>
      </c>
      <c r="K1" s="5" t="s">
        <v>653</v>
      </c>
      <c r="L1" s="6" t="s">
        <v>657</v>
      </c>
      <c r="M1" s="6" t="s">
        <v>654</v>
      </c>
      <c r="N1" s="6" t="s">
        <v>655</v>
      </c>
      <c r="O1" s="9" t="s">
        <v>656</v>
      </c>
      <c r="P1" s="7" t="s">
        <v>665</v>
      </c>
      <c r="Q1" s="7" t="s">
        <v>664</v>
      </c>
      <c r="R1" s="7" t="s">
        <v>666</v>
      </c>
    </row>
    <row r="2" spans="1:18" ht="15">
      <c r="A2" s="5" t="s">
        <v>1</v>
      </c>
      <c r="B2" s="5" t="s">
        <v>2</v>
      </c>
      <c r="C2" s="5" t="s">
        <v>3</v>
      </c>
      <c r="D2" s="5" t="s">
        <v>1</v>
      </c>
      <c r="E2" s="10">
        <f>F2*1.8982/1000/1.989</f>
        <v>7.7302262443438912E-6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1</v>
      </c>
      <c r="K2" s="5" t="s">
        <v>9</v>
      </c>
      <c r="L2" s="9">
        <v>0.59399999999999997</v>
      </c>
      <c r="M2" s="9">
        <v>0.87</v>
      </c>
      <c r="N2" s="9">
        <v>0.08</v>
      </c>
      <c r="O2" s="9" t="s">
        <v>658</v>
      </c>
      <c r="P2" s="11">
        <v>0.91</v>
      </c>
      <c r="Q2" s="11">
        <v>5138</v>
      </c>
      <c r="R2" s="10">
        <f>Q2*SQRT(P2*695700/(G2*149597870.7))</f>
        <v>1299.074616939103</v>
      </c>
    </row>
    <row r="3" spans="1:18" ht="15">
      <c r="A3" s="5" t="s">
        <v>9</v>
      </c>
      <c r="B3" s="5" t="s">
        <v>10</v>
      </c>
      <c r="C3" s="5" t="s">
        <v>11</v>
      </c>
      <c r="D3" s="5" t="s">
        <v>1</v>
      </c>
      <c r="E3" s="10">
        <f t="shared" ref="E3:E36" si="0">F3*1.8982/1000/1.989</f>
        <v>1.1833926596279538E-2</v>
      </c>
      <c r="F3" s="5" t="s">
        <v>12</v>
      </c>
      <c r="G3" s="5" t="s">
        <v>13</v>
      </c>
      <c r="H3" s="5" t="s">
        <v>14</v>
      </c>
      <c r="I3" s="5" t="s">
        <v>15</v>
      </c>
      <c r="J3" s="5" t="s">
        <v>1</v>
      </c>
      <c r="K3" s="5" t="s">
        <v>9</v>
      </c>
      <c r="L3" s="9"/>
      <c r="M3" s="9">
        <v>1.1200000000000001</v>
      </c>
      <c r="N3" s="9"/>
      <c r="O3" s="9" t="s">
        <v>658</v>
      </c>
      <c r="P3" s="10"/>
      <c r="Q3" s="10"/>
      <c r="R3" s="10">
        <f t="shared" ref="R3:R36" si="1">Q3*SQRT(P3*695700/(G3*149597870.7))</f>
        <v>0</v>
      </c>
    </row>
    <row r="4" spans="1:18" ht="15">
      <c r="A4" s="5" t="s">
        <v>16</v>
      </c>
      <c r="B4" s="5" t="s">
        <v>17</v>
      </c>
      <c r="C4" s="5" t="s">
        <v>18</v>
      </c>
      <c r="D4" s="5" t="s">
        <v>1</v>
      </c>
      <c r="E4" s="10">
        <f t="shared" si="0"/>
        <v>6.6040945198592256E-3</v>
      </c>
      <c r="F4" s="5" t="s">
        <v>19</v>
      </c>
      <c r="G4" s="5" t="s">
        <v>20</v>
      </c>
      <c r="H4" s="5" t="s">
        <v>21</v>
      </c>
      <c r="I4" s="5" t="s">
        <v>15</v>
      </c>
      <c r="J4" s="5" t="s">
        <v>1</v>
      </c>
      <c r="K4" s="5" t="s">
        <v>9</v>
      </c>
      <c r="L4" s="9">
        <v>0.72899999999999998</v>
      </c>
      <c r="M4" s="9">
        <v>1.9</v>
      </c>
      <c r="N4" s="9">
        <v>0.53</v>
      </c>
      <c r="O4" s="9" t="s">
        <v>658</v>
      </c>
      <c r="P4" s="9">
        <v>12.25</v>
      </c>
      <c r="Q4" s="11">
        <v>4657</v>
      </c>
      <c r="R4" s="10">
        <f t="shared" si="1"/>
        <v>1066.6149468547055</v>
      </c>
    </row>
    <row r="5" spans="1:18" ht="15">
      <c r="A5" s="5" t="s">
        <v>22</v>
      </c>
      <c r="B5" s="5" t="s">
        <v>53</v>
      </c>
      <c r="C5" s="5" t="s">
        <v>47</v>
      </c>
      <c r="D5" s="5" t="s">
        <v>1</v>
      </c>
      <c r="E5" s="10">
        <f t="shared" si="0"/>
        <v>1.7560020110608345E-2</v>
      </c>
      <c r="F5" s="5" t="s">
        <v>54</v>
      </c>
      <c r="G5" s="5" t="s">
        <v>55</v>
      </c>
      <c r="H5" s="5" t="s">
        <v>56</v>
      </c>
      <c r="I5" s="5" t="s">
        <v>57</v>
      </c>
      <c r="J5" s="5" t="s">
        <v>1</v>
      </c>
      <c r="K5" s="5" t="s">
        <v>9</v>
      </c>
      <c r="L5" s="9"/>
      <c r="M5" s="9">
        <v>0.7</v>
      </c>
      <c r="N5" s="9">
        <v>0.4</v>
      </c>
      <c r="O5" s="9" t="s">
        <v>659</v>
      </c>
      <c r="P5" s="10"/>
      <c r="Q5" s="10"/>
      <c r="R5" s="10">
        <f t="shared" si="1"/>
        <v>0</v>
      </c>
    </row>
    <row r="6" spans="1:18" ht="15">
      <c r="A6" s="8" t="s">
        <v>29</v>
      </c>
      <c r="B6" s="8" t="s">
        <v>627</v>
      </c>
      <c r="C6" s="8" t="s">
        <v>628</v>
      </c>
      <c r="D6" s="8" t="s">
        <v>1</v>
      </c>
      <c r="E6" s="12">
        <f t="shared" si="0"/>
        <v>1.8132629462041228E-3</v>
      </c>
      <c r="F6" s="8" t="s">
        <v>234</v>
      </c>
      <c r="G6" s="8" t="s">
        <v>629</v>
      </c>
      <c r="H6" s="8" t="s">
        <v>630</v>
      </c>
      <c r="I6" s="8" t="s">
        <v>631</v>
      </c>
      <c r="J6" s="8" t="s">
        <v>9</v>
      </c>
      <c r="K6" s="8" t="s">
        <v>9</v>
      </c>
      <c r="L6" s="13">
        <v>0.24</v>
      </c>
      <c r="M6" s="13">
        <v>1</v>
      </c>
      <c r="N6" s="13">
        <v>0.84</v>
      </c>
      <c r="O6" s="13" t="s">
        <v>661</v>
      </c>
      <c r="P6" s="13">
        <v>1.1200000000000001</v>
      </c>
      <c r="Q6" s="12">
        <v>5782</v>
      </c>
      <c r="R6" s="12">
        <f t="shared" si="1"/>
        <v>355.09009248095219</v>
      </c>
    </row>
    <row r="7" spans="1:18" ht="15">
      <c r="A7" s="5" t="s">
        <v>37</v>
      </c>
      <c r="B7" s="5" t="s">
        <v>66</v>
      </c>
      <c r="C7" s="5" t="s">
        <v>67</v>
      </c>
      <c r="D7" s="5" t="s">
        <v>1</v>
      </c>
      <c r="E7" s="10">
        <f t="shared" si="0"/>
        <v>3.8269391654097533E-3</v>
      </c>
      <c r="F7" s="5" t="s">
        <v>68</v>
      </c>
      <c r="G7" s="5" t="s">
        <v>69</v>
      </c>
      <c r="H7" s="5" t="s">
        <v>70</v>
      </c>
      <c r="I7" s="5" t="s">
        <v>71</v>
      </c>
      <c r="J7" s="5" t="s">
        <v>1</v>
      </c>
      <c r="K7" s="5" t="s">
        <v>9</v>
      </c>
      <c r="L7" s="9">
        <v>0.4</v>
      </c>
      <c r="M7" s="9">
        <v>0.8</v>
      </c>
      <c r="N7" s="9">
        <v>0.49</v>
      </c>
      <c r="O7" s="9" t="s">
        <v>658</v>
      </c>
      <c r="P7" s="11">
        <v>0.79049800000000003</v>
      </c>
      <c r="Q7" s="11">
        <v>5188.5</v>
      </c>
      <c r="R7" s="10">
        <f t="shared" si="1"/>
        <v>948.5149095636923</v>
      </c>
    </row>
    <row r="8" spans="1:18" ht="15">
      <c r="A8" s="5" t="s">
        <v>45</v>
      </c>
      <c r="B8" s="5" t="s">
        <v>79</v>
      </c>
      <c r="C8" s="5" t="s">
        <v>80</v>
      </c>
      <c r="D8" s="5" t="s">
        <v>1</v>
      </c>
      <c r="E8" s="10">
        <f t="shared" si="0"/>
        <v>4.5808748114630469E-4</v>
      </c>
      <c r="F8" s="5" t="s">
        <v>77</v>
      </c>
      <c r="G8" s="5" t="s">
        <v>82</v>
      </c>
      <c r="H8" s="5" t="s">
        <v>83</v>
      </c>
      <c r="I8" s="5" t="s">
        <v>84</v>
      </c>
      <c r="J8" s="5" t="s">
        <v>1</v>
      </c>
      <c r="K8" s="5" t="s">
        <v>16</v>
      </c>
      <c r="L8" s="10"/>
      <c r="M8" s="10"/>
      <c r="N8" s="10"/>
      <c r="O8" s="10"/>
      <c r="P8" s="10"/>
      <c r="Q8" s="10"/>
      <c r="R8" s="10">
        <f t="shared" si="1"/>
        <v>0</v>
      </c>
    </row>
    <row r="9" spans="1:18" ht="15">
      <c r="A9" s="5" t="s">
        <v>52</v>
      </c>
      <c r="B9" s="5" t="s">
        <v>101</v>
      </c>
      <c r="C9" s="5" t="s">
        <v>102</v>
      </c>
      <c r="D9" s="5" t="s">
        <v>1</v>
      </c>
      <c r="E9" s="10">
        <f t="shared" si="0"/>
        <v>4.5808748114630469E-4</v>
      </c>
      <c r="F9" s="5" t="s">
        <v>77</v>
      </c>
      <c r="G9" s="5" t="s">
        <v>103</v>
      </c>
      <c r="H9" s="5" t="s">
        <v>104</v>
      </c>
      <c r="I9" s="5" t="s">
        <v>105</v>
      </c>
      <c r="J9" s="5" t="s">
        <v>1</v>
      </c>
      <c r="K9" s="5" t="s">
        <v>9</v>
      </c>
      <c r="L9" s="9"/>
      <c r="M9" s="9">
        <v>1.1299999999999999</v>
      </c>
      <c r="N9" s="9">
        <v>0.42</v>
      </c>
      <c r="O9" s="9" t="s">
        <v>658</v>
      </c>
      <c r="P9" s="10"/>
      <c r="Q9" s="10"/>
      <c r="R9" s="10">
        <f t="shared" si="1"/>
        <v>0</v>
      </c>
    </row>
    <row r="10" spans="1:18" ht="15">
      <c r="A10" s="5" t="s">
        <v>58</v>
      </c>
      <c r="B10" s="5" t="s">
        <v>107</v>
      </c>
      <c r="C10" s="5" t="s">
        <v>108</v>
      </c>
      <c r="D10" s="5" t="s">
        <v>1</v>
      </c>
      <c r="E10" s="10">
        <f t="shared" si="0"/>
        <v>3.2161558572146808E-3</v>
      </c>
      <c r="F10" s="5" t="s">
        <v>109</v>
      </c>
      <c r="G10" s="5" t="s">
        <v>110</v>
      </c>
      <c r="H10" s="5" t="s">
        <v>111</v>
      </c>
      <c r="I10" s="5" t="s">
        <v>112</v>
      </c>
      <c r="J10" s="5" t="s">
        <v>1</v>
      </c>
      <c r="K10" s="5" t="s">
        <v>9</v>
      </c>
      <c r="L10" s="9"/>
      <c r="M10" s="9">
        <v>0.9</v>
      </c>
      <c r="N10" s="9">
        <v>0.13</v>
      </c>
      <c r="O10" s="9" t="s">
        <v>658</v>
      </c>
      <c r="P10" s="10"/>
      <c r="Q10" s="10"/>
      <c r="R10" s="10">
        <f t="shared" si="1"/>
        <v>0</v>
      </c>
    </row>
    <row r="11" spans="1:18" ht="15">
      <c r="A11" s="5" t="s">
        <v>65</v>
      </c>
      <c r="B11" s="5" t="s">
        <v>114</v>
      </c>
      <c r="C11" s="5" t="s">
        <v>115</v>
      </c>
      <c r="D11" s="5" t="s">
        <v>9</v>
      </c>
      <c r="E11" s="10">
        <f t="shared" si="0"/>
        <v>1.6223931623931625E-5</v>
      </c>
      <c r="F11" s="5" t="s">
        <v>116</v>
      </c>
      <c r="G11" s="5" t="s">
        <v>117</v>
      </c>
      <c r="H11" s="5" t="s">
        <v>118</v>
      </c>
      <c r="I11" s="5" t="s">
        <v>119</v>
      </c>
      <c r="J11" s="5" t="s">
        <v>1</v>
      </c>
      <c r="K11" s="5" t="s">
        <v>9</v>
      </c>
      <c r="L11" s="9">
        <v>0.53</v>
      </c>
      <c r="M11" s="9">
        <v>0.38</v>
      </c>
      <c r="N11" s="9">
        <v>0.15</v>
      </c>
      <c r="O11" s="9" t="s">
        <v>658</v>
      </c>
      <c r="P11" s="10">
        <v>0.38629999999999998</v>
      </c>
      <c r="Q11" s="14">
        <v>3567</v>
      </c>
      <c r="R11" s="10">
        <f t="shared" si="1"/>
        <v>563.43978653989484</v>
      </c>
    </row>
    <row r="12" spans="1:18" ht="15">
      <c r="A12" s="5" t="s">
        <v>72</v>
      </c>
      <c r="B12" s="5" t="s">
        <v>660</v>
      </c>
      <c r="C12" s="5" t="s">
        <v>130</v>
      </c>
      <c r="D12" s="5" t="s">
        <v>9</v>
      </c>
      <c r="E12" s="10">
        <f t="shared" si="0"/>
        <v>1.4315233785822017E-4</v>
      </c>
      <c r="F12" s="5" t="s">
        <v>137</v>
      </c>
      <c r="G12" s="5" t="s">
        <v>138</v>
      </c>
      <c r="H12" s="5" t="s">
        <v>139</v>
      </c>
      <c r="I12" s="5" t="s">
        <v>140</v>
      </c>
      <c r="J12" s="5" t="s">
        <v>1</v>
      </c>
      <c r="K12" s="5" t="s">
        <v>9</v>
      </c>
      <c r="L12" s="10"/>
      <c r="M12" s="15">
        <v>1.45</v>
      </c>
      <c r="N12" s="9">
        <v>0.23</v>
      </c>
      <c r="O12" s="9" t="s">
        <v>661</v>
      </c>
      <c r="P12" s="10"/>
      <c r="Q12" s="10"/>
      <c r="R12" s="10">
        <f t="shared" si="1"/>
        <v>0</v>
      </c>
    </row>
    <row r="13" spans="1:18" ht="15">
      <c r="A13" s="5" t="s">
        <v>78</v>
      </c>
      <c r="B13" s="5" t="s">
        <v>142</v>
      </c>
      <c r="C13" s="5" t="s">
        <v>143</v>
      </c>
      <c r="D13" s="5" t="s">
        <v>9</v>
      </c>
      <c r="E13" s="10">
        <f t="shared" si="0"/>
        <v>1.1929361488185017E-3</v>
      </c>
      <c r="F13" s="5" t="s">
        <v>144</v>
      </c>
      <c r="G13" s="5" t="s">
        <v>145</v>
      </c>
      <c r="H13" s="5" t="s">
        <v>146</v>
      </c>
      <c r="I13" s="5" t="s">
        <v>147</v>
      </c>
      <c r="J13" s="5" t="s">
        <v>1</v>
      </c>
      <c r="K13" s="5" t="s">
        <v>9</v>
      </c>
      <c r="L13" s="10"/>
      <c r="M13" s="9">
        <v>1.2</v>
      </c>
      <c r="N13" s="9">
        <v>0.59</v>
      </c>
      <c r="O13" s="9" t="s">
        <v>661</v>
      </c>
      <c r="P13" s="10"/>
      <c r="Q13" s="10"/>
      <c r="R13" s="10">
        <f t="shared" si="1"/>
        <v>0</v>
      </c>
    </row>
    <row r="14" spans="1:18" ht="15">
      <c r="A14" s="5" t="s">
        <v>85</v>
      </c>
      <c r="B14" s="5" t="s">
        <v>154</v>
      </c>
      <c r="C14" s="5" t="s">
        <v>155</v>
      </c>
      <c r="D14" s="5" t="s">
        <v>1</v>
      </c>
      <c r="E14" s="10">
        <f t="shared" si="0"/>
        <v>3.0835013574660638E-4</v>
      </c>
      <c r="F14" s="5" t="s">
        <v>156</v>
      </c>
      <c r="G14" s="5" t="s">
        <v>157</v>
      </c>
      <c r="H14" s="5" t="s">
        <v>158</v>
      </c>
      <c r="I14" s="5" t="s">
        <v>69</v>
      </c>
      <c r="J14" s="5" t="s">
        <v>1</v>
      </c>
      <c r="K14" s="5" t="s">
        <v>9</v>
      </c>
      <c r="L14" s="10"/>
      <c r="M14" s="11">
        <v>0.57999999999999996</v>
      </c>
      <c r="N14" s="11">
        <v>0.55000000000000004</v>
      </c>
      <c r="O14" s="9" t="s">
        <v>662</v>
      </c>
      <c r="P14" s="10"/>
      <c r="Q14" s="10"/>
      <c r="R14" s="10">
        <f t="shared" si="1"/>
        <v>0</v>
      </c>
    </row>
    <row r="15" spans="1:18" ht="15">
      <c r="A15" s="5" t="s">
        <v>93</v>
      </c>
      <c r="B15" s="5" t="s">
        <v>160</v>
      </c>
      <c r="C15" s="5" t="s">
        <v>161</v>
      </c>
      <c r="D15" s="5" t="s">
        <v>9</v>
      </c>
      <c r="E15" s="10">
        <f t="shared" si="0"/>
        <v>5.3443539467068891E-4</v>
      </c>
      <c r="F15" s="5" t="s">
        <v>162</v>
      </c>
      <c r="G15" s="5" t="s">
        <v>163</v>
      </c>
      <c r="H15" s="5" t="s">
        <v>164</v>
      </c>
      <c r="I15" s="5" t="s">
        <v>165</v>
      </c>
      <c r="J15" s="5" t="s">
        <v>1</v>
      </c>
      <c r="K15" s="5" t="s">
        <v>22</v>
      </c>
      <c r="L15" s="10"/>
      <c r="M15" s="9"/>
      <c r="N15" s="10"/>
      <c r="O15" s="9"/>
      <c r="P15" s="10"/>
      <c r="Q15" s="10"/>
      <c r="R15" s="10">
        <f t="shared" si="1"/>
        <v>0</v>
      </c>
    </row>
    <row r="16" spans="1:18" ht="15">
      <c r="A16" s="5" t="s">
        <v>100</v>
      </c>
      <c r="B16" s="5" t="s">
        <v>179</v>
      </c>
      <c r="C16" s="5" t="s">
        <v>180</v>
      </c>
      <c r="D16" s="5" t="s">
        <v>1</v>
      </c>
      <c r="E16" s="10">
        <f t="shared" si="0"/>
        <v>3.5310910005027655E-3</v>
      </c>
      <c r="F16" s="5" t="s">
        <v>32</v>
      </c>
      <c r="G16" s="5" t="s">
        <v>181</v>
      </c>
      <c r="H16" s="5" t="s">
        <v>182</v>
      </c>
      <c r="I16" s="5" t="s">
        <v>183</v>
      </c>
      <c r="J16" s="5" t="s">
        <v>1</v>
      </c>
      <c r="K16" s="5" t="s">
        <v>9</v>
      </c>
      <c r="L16" s="10"/>
      <c r="M16" s="15">
        <v>1.06</v>
      </c>
      <c r="N16" s="15">
        <v>0.69699999999999995</v>
      </c>
      <c r="O16" s="9" t="s">
        <v>661</v>
      </c>
      <c r="P16" s="10"/>
      <c r="Q16" s="10"/>
      <c r="R16" s="10">
        <f t="shared" si="1"/>
        <v>0</v>
      </c>
    </row>
    <row r="17" spans="1:18" ht="15">
      <c r="A17" s="5" t="s">
        <v>106</v>
      </c>
      <c r="B17" s="5" t="s">
        <v>184</v>
      </c>
      <c r="C17" s="5" t="s">
        <v>185</v>
      </c>
      <c r="D17" s="5" t="s">
        <v>1</v>
      </c>
      <c r="E17" s="10">
        <f t="shared" si="0"/>
        <v>1.0478751131221721E-2</v>
      </c>
      <c r="F17" s="5" t="s">
        <v>186</v>
      </c>
      <c r="G17" s="5" t="s">
        <v>187</v>
      </c>
      <c r="H17" s="5" t="s">
        <v>188</v>
      </c>
      <c r="I17" s="5" t="s">
        <v>189</v>
      </c>
      <c r="J17" s="5" t="s">
        <v>1</v>
      </c>
      <c r="K17" s="5" t="s">
        <v>9</v>
      </c>
      <c r="L17" s="10"/>
      <c r="M17" s="15">
        <v>0.84</v>
      </c>
      <c r="N17" s="10">
        <v>0.13800000000000001</v>
      </c>
      <c r="O17" s="9" t="s">
        <v>661</v>
      </c>
      <c r="P17" s="10"/>
      <c r="Q17" s="10"/>
      <c r="R17" s="10">
        <f t="shared" si="1"/>
        <v>0</v>
      </c>
    </row>
    <row r="18" spans="1:18" ht="15">
      <c r="A18" s="5" t="s">
        <v>113</v>
      </c>
      <c r="B18" s="5" t="s">
        <v>220</v>
      </c>
      <c r="C18" s="5" t="s">
        <v>221</v>
      </c>
      <c r="D18" s="5" t="s">
        <v>1</v>
      </c>
      <c r="E18" s="10">
        <f t="shared" si="0"/>
        <v>3.9414610356963298E-3</v>
      </c>
      <c r="F18" s="5" t="s">
        <v>222</v>
      </c>
      <c r="G18" s="5" t="s">
        <v>71</v>
      </c>
      <c r="H18" s="5" t="s">
        <v>223</v>
      </c>
      <c r="I18" s="5" t="s">
        <v>224</v>
      </c>
      <c r="J18" s="5" t="s">
        <v>1</v>
      </c>
      <c r="K18" s="5" t="s">
        <v>9</v>
      </c>
      <c r="L18" s="15">
        <v>0.91</v>
      </c>
      <c r="M18" s="10">
        <v>1.4</v>
      </c>
      <c r="N18" s="10">
        <v>0.4</v>
      </c>
      <c r="O18" s="9" t="s">
        <v>661</v>
      </c>
      <c r="P18" s="11">
        <v>1.4397031843899999</v>
      </c>
      <c r="Q18" s="11">
        <v>6461.32</v>
      </c>
      <c r="R18" s="10">
        <f t="shared" si="1"/>
        <v>2465.0578323690029</v>
      </c>
    </row>
    <row r="19" spans="1:18" ht="15">
      <c r="A19" s="5" t="s">
        <v>24</v>
      </c>
      <c r="B19" s="5" t="s">
        <v>226</v>
      </c>
      <c r="C19" s="5" t="s">
        <v>227</v>
      </c>
      <c r="D19" s="5" t="s">
        <v>1</v>
      </c>
      <c r="E19" s="10">
        <f t="shared" si="0"/>
        <v>3.8173956762192058E-4</v>
      </c>
      <c r="F19" s="5" t="s">
        <v>195</v>
      </c>
      <c r="G19" s="5" t="s">
        <v>228</v>
      </c>
      <c r="H19" s="5" t="s">
        <v>229</v>
      </c>
      <c r="I19" s="5" t="s">
        <v>230</v>
      </c>
      <c r="J19" s="5" t="s">
        <v>1</v>
      </c>
      <c r="K19" s="5" t="s">
        <v>9</v>
      </c>
      <c r="L19" s="10"/>
      <c r="M19" s="15">
        <v>1.27</v>
      </c>
      <c r="N19" s="10">
        <v>0.35</v>
      </c>
      <c r="O19" s="9" t="s">
        <v>661</v>
      </c>
      <c r="P19" s="10"/>
      <c r="Q19" s="10"/>
      <c r="R19" s="10">
        <f t="shared" si="1"/>
        <v>0</v>
      </c>
    </row>
    <row r="20" spans="1:18" ht="15">
      <c r="A20" s="5" t="s">
        <v>31</v>
      </c>
      <c r="B20" s="5" t="s">
        <v>245</v>
      </c>
      <c r="C20" s="5" t="s">
        <v>246</v>
      </c>
      <c r="D20" s="5" t="s">
        <v>1</v>
      </c>
      <c r="E20" s="10">
        <f t="shared" si="0"/>
        <v>8.9708798391151332E-4</v>
      </c>
      <c r="F20" s="5" t="s">
        <v>247</v>
      </c>
      <c r="G20" s="5" t="s">
        <v>248</v>
      </c>
      <c r="H20" s="5" t="s">
        <v>249</v>
      </c>
      <c r="I20" s="5" t="s">
        <v>219</v>
      </c>
      <c r="J20" s="5" t="s">
        <v>1</v>
      </c>
      <c r="K20" s="5" t="s">
        <v>9</v>
      </c>
      <c r="L20" s="10"/>
      <c r="M20" s="15">
        <v>1.08</v>
      </c>
      <c r="N20" s="10"/>
      <c r="O20" s="9" t="s">
        <v>661</v>
      </c>
      <c r="P20" s="10"/>
      <c r="Q20" s="10"/>
      <c r="R20" s="10">
        <f t="shared" si="1"/>
        <v>0</v>
      </c>
    </row>
    <row r="21" spans="1:18" ht="15">
      <c r="A21" s="5" t="s">
        <v>128</v>
      </c>
      <c r="B21" s="5" t="s">
        <v>251</v>
      </c>
      <c r="C21" s="5" t="s">
        <v>252</v>
      </c>
      <c r="D21" s="5" t="s">
        <v>1</v>
      </c>
      <c r="E21" s="10">
        <f t="shared" si="0"/>
        <v>2.0518501759678228E-4</v>
      </c>
      <c r="F21" s="5" t="s">
        <v>253</v>
      </c>
      <c r="G21" s="5" t="s">
        <v>140</v>
      </c>
      <c r="H21" s="5" t="s">
        <v>254</v>
      </c>
      <c r="I21" s="5" t="s">
        <v>255</v>
      </c>
      <c r="J21" s="5" t="s">
        <v>1</v>
      </c>
      <c r="K21" s="5" t="s">
        <v>9</v>
      </c>
      <c r="L21" s="10"/>
      <c r="M21" s="15">
        <v>1.01</v>
      </c>
      <c r="N21" s="15">
        <v>0.28599999999999998</v>
      </c>
      <c r="O21" s="9" t="s">
        <v>661</v>
      </c>
      <c r="P21" s="10"/>
      <c r="Q21" s="10"/>
      <c r="R21" s="10">
        <f t="shared" si="1"/>
        <v>0</v>
      </c>
    </row>
    <row r="22" spans="1:18" ht="18" customHeight="1">
      <c r="A22" s="5" t="s">
        <v>135</v>
      </c>
      <c r="B22" s="5" t="s">
        <v>30</v>
      </c>
      <c r="C22" s="5" t="s">
        <v>31</v>
      </c>
      <c r="D22" s="5" t="s">
        <v>1</v>
      </c>
      <c r="E22" s="10">
        <f t="shared" si="0"/>
        <v>1.7655455002513827E-3</v>
      </c>
      <c r="F22" s="5" t="s">
        <v>33</v>
      </c>
      <c r="G22" s="5" t="s">
        <v>34</v>
      </c>
      <c r="H22" s="5" t="s">
        <v>35</v>
      </c>
      <c r="I22" s="5" t="s">
        <v>36</v>
      </c>
      <c r="J22" s="5" t="s">
        <v>1</v>
      </c>
      <c r="K22" s="5" t="s">
        <v>9</v>
      </c>
      <c r="L22" s="9">
        <v>0.36</v>
      </c>
      <c r="M22" s="9">
        <v>1.18</v>
      </c>
      <c r="N22" s="9">
        <v>0.32</v>
      </c>
      <c r="O22" s="9" t="s">
        <v>658</v>
      </c>
      <c r="P22" s="14">
        <v>4.9000000000000004</v>
      </c>
      <c r="Q22" s="9">
        <v>4800</v>
      </c>
      <c r="R22" s="10">
        <f t="shared" si="1"/>
        <v>506.07005776149595</v>
      </c>
    </row>
    <row r="23" spans="1:18" ht="15">
      <c r="A23" s="5" t="s">
        <v>141</v>
      </c>
      <c r="B23" s="5" t="s">
        <v>38</v>
      </c>
      <c r="C23" s="5" t="s">
        <v>39</v>
      </c>
      <c r="D23" s="5" t="s">
        <v>1</v>
      </c>
      <c r="E23" s="10">
        <f t="shared" si="0"/>
        <v>1.4887843137254904E-3</v>
      </c>
      <c r="F23" s="5" t="s">
        <v>41</v>
      </c>
      <c r="G23" s="5" t="s">
        <v>42</v>
      </c>
      <c r="H23" s="5" t="s">
        <v>43</v>
      </c>
      <c r="I23" s="5" t="s">
        <v>44</v>
      </c>
      <c r="J23" s="5" t="s">
        <v>1</v>
      </c>
      <c r="K23" s="5" t="s">
        <v>9</v>
      </c>
      <c r="L23" s="10"/>
      <c r="M23" s="10"/>
      <c r="N23" s="10"/>
      <c r="O23" s="10"/>
      <c r="P23" s="10"/>
      <c r="Q23" s="10"/>
      <c r="R23" s="10">
        <f t="shared" si="1"/>
        <v>0</v>
      </c>
    </row>
    <row r="24" spans="1:18" ht="15">
      <c r="A24" s="5" t="s">
        <v>148</v>
      </c>
      <c r="B24" s="5" t="s">
        <v>46</v>
      </c>
      <c r="C24" s="5" t="s">
        <v>47</v>
      </c>
      <c r="D24" s="5" t="s">
        <v>1</v>
      </c>
      <c r="E24" s="10">
        <f t="shared" si="0"/>
        <v>2.4240462543991953E-3</v>
      </c>
      <c r="F24" s="5" t="s">
        <v>48</v>
      </c>
      <c r="G24" s="5" t="s">
        <v>49</v>
      </c>
      <c r="H24" s="5" t="s">
        <v>50</v>
      </c>
      <c r="I24" s="5" t="s">
        <v>51</v>
      </c>
      <c r="J24" s="5" t="s">
        <v>1</v>
      </c>
      <c r="K24" s="5" t="s">
        <v>9</v>
      </c>
      <c r="L24" s="10"/>
      <c r="M24" s="10"/>
      <c r="N24" s="10"/>
      <c r="O24" s="10"/>
      <c r="P24" s="10"/>
      <c r="Q24" s="10"/>
      <c r="R24" s="10">
        <f t="shared" si="1"/>
        <v>0</v>
      </c>
    </row>
    <row r="25" spans="1:18" ht="15">
      <c r="A25" s="5" t="s">
        <v>153</v>
      </c>
      <c r="B25" s="5" t="s">
        <v>120</v>
      </c>
      <c r="C25" s="5" t="s">
        <v>115</v>
      </c>
      <c r="D25" s="5" t="s">
        <v>9</v>
      </c>
      <c r="E25" s="10">
        <f t="shared" si="0"/>
        <v>1.0879577677224736E-4</v>
      </c>
      <c r="F25" s="5" t="s">
        <v>121</v>
      </c>
      <c r="G25" s="5" t="s">
        <v>88</v>
      </c>
      <c r="H25" s="5" t="s">
        <v>122</v>
      </c>
      <c r="I25" s="5" t="s">
        <v>119</v>
      </c>
      <c r="J25" s="5" t="s">
        <v>1</v>
      </c>
      <c r="K25" s="5" t="s">
        <v>9</v>
      </c>
      <c r="L25" s="9">
        <v>0.53</v>
      </c>
      <c r="M25" s="9">
        <v>0.38</v>
      </c>
      <c r="N25" s="9">
        <v>0.15</v>
      </c>
      <c r="O25" s="9" t="s">
        <v>658</v>
      </c>
      <c r="P25" s="14">
        <v>0.38629999999999998</v>
      </c>
      <c r="Q25" s="14">
        <v>3567</v>
      </c>
      <c r="R25" s="10">
        <f t="shared" si="1"/>
        <v>65.060422486190703</v>
      </c>
    </row>
    <row r="26" spans="1:18" ht="15">
      <c r="A26" s="5" t="s">
        <v>159</v>
      </c>
      <c r="B26" s="5" t="s">
        <v>214</v>
      </c>
      <c r="C26" s="5" t="s">
        <v>215</v>
      </c>
      <c r="D26" s="5" t="s">
        <v>1</v>
      </c>
      <c r="E26" s="10">
        <f t="shared" si="0"/>
        <v>1.6033061840120663E-3</v>
      </c>
      <c r="F26" s="5" t="s">
        <v>216</v>
      </c>
      <c r="G26" s="5" t="s">
        <v>217</v>
      </c>
      <c r="H26" s="5" t="s">
        <v>218</v>
      </c>
      <c r="I26" s="5" t="s">
        <v>219</v>
      </c>
      <c r="J26" s="5" t="s">
        <v>1</v>
      </c>
      <c r="K26" s="5" t="s">
        <v>9</v>
      </c>
      <c r="L26" s="10">
        <v>0.26</v>
      </c>
      <c r="M26" s="10">
        <v>1.34</v>
      </c>
      <c r="N26" s="10">
        <v>0.35</v>
      </c>
      <c r="O26" s="10" t="s">
        <v>661</v>
      </c>
      <c r="P26" s="10">
        <v>1.93</v>
      </c>
      <c r="Q26" s="14">
        <v>5984</v>
      </c>
      <c r="R26" s="10">
        <f t="shared" si="1"/>
        <v>475.74514263082705</v>
      </c>
    </row>
    <row r="27" spans="1:18" ht="15">
      <c r="A27" s="8" t="s">
        <v>166</v>
      </c>
      <c r="B27" s="8" t="s">
        <v>302</v>
      </c>
      <c r="C27" s="8" t="s">
        <v>303</v>
      </c>
      <c r="D27" s="8" t="s">
        <v>1</v>
      </c>
      <c r="E27" s="12">
        <f t="shared" si="0"/>
        <v>9.1712931121166411E-3</v>
      </c>
      <c r="F27" s="8" t="s">
        <v>304</v>
      </c>
      <c r="G27" s="8" t="s">
        <v>305</v>
      </c>
      <c r="H27" s="8" t="s">
        <v>306</v>
      </c>
      <c r="I27" s="8" t="s">
        <v>307</v>
      </c>
      <c r="J27" s="8" t="s">
        <v>1</v>
      </c>
      <c r="K27" s="8" t="s">
        <v>9</v>
      </c>
      <c r="L27" s="12">
        <v>0.42</v>
      </c>
      <c r="M27" s="12">
        <v>0.91</v>
      </c>
      <c r="N27" s="12">
        <v>0.88</v>
      </c>
      <c r="O27" s="12" t="s">
        <v>661</v>
      </c>
      <c r="P27" s="12">
        <v>1.62</v>
      </c>
      <c r="Q27" s="12">
        <v>5364</v>
      </c>
      <c r="R27" s="12">
        <f t="shared" si="1"/>
        <v>217.3142620025321</v>
      </c>
    </row>
    <row r="28" spans="1:18" ht="15">
      <c r="A28" s="5" t="s">
        <v>171</v>
      </c>
      <c r="B28" s="5" t="s">
        <v>309</v>
      </c>
      <c r="C28" s="5" t="s">
        <v>310</v>
      </c>
      <c r="D28" s="5" t="s">
        <v>1</v>
      </c>
      <c r="E28" s="10">
        <f t="shared" si="0"/>
        <v>1.4315233785822021E-3</v>
      </c>
      <c r="F28" s="5" t="s">
        <v>311</v>
      </c>
      <c r="G28" s="5" t="s">
        <v>312</v>
      </c>
      <c r="H28" s="5" t="s">
        <v>313</v>
      </c>
      <c r="I28" s="5" t="s">
        <v>314</v>
      </c>
      <c r="J28" s="5" t="s">
        <v>1</v>
      </c>
      <c r="K28" s="5" t="s">
        <v>9</v>
      </c>
      <c r="L28" s="10"/>
      <c r="M28" s="15">
        <v>1.21</v>
      </c>
      <c r="N28" s="15">
        <v>0.08</v>
      </c>
      <c r="O28" s="10" t="s">
        <v>661</v>
      </c>
      <c r="P28" s="10"/>
      <c r="Q28" s="10"/>
      <c r="R28" s="10">
        <f t="shared" si="1"/>
        <v>0</v>
      </c>
    </row>
    <row r="29" spans="1:18" ht="15">
      <c r="A29" s="5" t="s">
        <v>178</v>
      </c>
      <c r="B29" s="5" t="s">
        <v>345</v>
      </c>
      <c r="C29" s="5" t="s">
        <v>346</v>
      </c>
      <c r="D29" s="5" t="s">
        <v>1</v>
      </c>
      <c r="E29" s="10">
        <f t="shared" si="0"/>
        <v>4.7717445952740072E-5</v>
      </c>
      <c r="F29" s="5" t="s">
        <v>15</v>
      </c>
      <c r="G29" s="5" t="s">
        <v>347</v>
      </c>
      <c r="H29" s="5" t="s">
        <v>348</v>
      </c>
      <c r="I29" s="5" t="s">
        <v>349</v>
      </c>
      <c r="J29" s="5" t="s">
        <v>1</v>
      </c>
      <c r="K29" s="5" t="s">
        <v>9</v>
      </c>
      <c r="L29" s="10"/>
      <c r="M29" s="15">
        <v>0.85</v>
      </c>
      <c r="N29" s="10"/>
      <c r="O29" s="10" t="s">
        <v>661</v>
      </c>
      <c r="P29" s="10"/>
      <c r="Q29" s="10"/>
      <c r="R29" s="10">
        <f t="shared" si="1"/>
        <v>0</v>
      </c>
    </row>
    <row r="30" spans="1:18" ht="15">
      <c r="A30" s="5" t="s">
        <v>74</v>
      </c>
      <c r="B30" s="5" t="s">
        <v>351</v>
      </c>
      <c r="C30" s="5" t="s">
        <v>352</v>
      </c>
      <c r="D30" s="5" t="s">
        <v>1</v>
      </c>
      <c r="E30" s="10">
        <f t="shared" si="0"/>
        <v>3.0348295625942687E-3</v>
      </c>
      <c r="F30" s="5" t="s">
        <v>353</v>
      </c>
      <c r="G30" s="5" t="s">
        <v>354</v>
      </c>
      <c r="H30" s="5" t="s">
        <v>355</v>
      </c>
      <c r="I30" s="5" t="s">
        <v>356</v>
      </c>
      <c r="J30" s="5" t="s">
        <v>1</v>
      </c>
      <c r="K30" s="5" t="s">
        <v>9</v>
      </c>
      <c r="L30" s="10"/>
      <c r="M30" s="10">
        <v>1.08</v>
      </c>
      <c r="N30" s="10"/>
      <c r="O30" s="10" t="s">
        <v>661</v>
      </c>
      <c r="P30" s="10"/>
      <c r="Q30" s="10"/>
      <c r="R30" s="10">
        <f t="shared" si="1"/>
        <v>0</v>
      </c>
    </row>
    <row r="31" spans="1:18" ht="15">
      <c r="A31" s="5" t="s">
        <v>190</v>
      </c>
      <c r="B31" s="5" t="s">
        <v>363</v>
      </c>
      <c r="C31" s="5" t="s">
        <v>364</v>
      </c>
      <c r="D31" s="5" t="s">
        <v>1</v>
      </c>
      <c r="E31" s="10">
        <f t="shared" si="0"/>
        <v>2.3763288084464553E-4</v>
      </c>
      <c r="F31" s="5" t="s">
        <v>365</v>
      </c>
      <c r="G31" s="5" t="s">
        <v>84</v>
      </c>
      <c r="H31" s="5" t="s">
        <v>366</v>
      </c>
      <c r="I31" s="5" t="s">
        <v>367</v>
      </c>
      <c r="J31" s="5" t="s">
        <v>1</v>
      </c>
      <c r="K31" s="5" t="s">
        <v>9</v>
      </c>
      <c r="L31" s="10"/>
      <c r="M31" s="15">
        <v>0.91</v>
      </c>
      <c r="N31" s="10">
        <v>0.57999999999999996</v>
      </c>
      <c r="O31" s="10"/>
      <c r="P31" s="10"/>
      <c r="Q31" s="10"/>
      <c r="R31" s="10">
        <f t="shared" si="1"/>
        <v>0</v>
      </c>
    </row>
    <row r="32" spans="1:18" ht="15">
      <c r="A32" s="8" t="s">
        <v>196</v>
      </c>
      <c r="B32" s="8" t="s">
        <v>590</v>
      </c>
      <c r="C32" s="8" t="s">
        <v>585</v>
      </c>
      <c r="D32" s="8" t="s">
        <v>16</v>
      </c>
      <c r="E32" s="12">
        <f t="shared" si="0"/>
        <v>2.8630467571644043E-3</v>
      </c>
      <c r="F32" s="8" t="s">
        <v>16</v>
      </c>
      <c r="G32" s="8" t="s">
        <v>242</v>
      </c>
      <c r="H32" s="8" t="s">
        <v>591</v>
      </c>
      <c r="I32" s="8" t="s">
        <v>347</v>
      </c>
      <c r="J32" s="8" t="s">
        <v>9</v>
      </c>
      <c r="K32" s="8" t="s">
        <v>9</v>
      </c>
      <c r="L32" s="12">
        <v>0</v>
      </c>
      <c r="M32" s="12">
        <v>1.1000000000000001</v>
      </c>
      <c r="N32" s="12">
        <v>0.184</v>
      </c>
      <c r="O32" s="12" t="s">
        <v>661</v>
      </c>
      <c r="P32" s="12">
        <v>1.05</v>
      </c>
      <c r="Q32" s="12">
        <v>5897</v>
      </c>
      <c r="R32" s="12">
        <f t="shared" si="1"/>
        <v>352.05765298080451</v>
      </c>
    </row>
    <row r="33" spans="1:19" ht="15">
      <c r="A33" s="5" t="s">
        <v>201</v>
      </c>
      <c r="B33" s="5" t="s">
        <v>383</v>
      </c>
      <c r="C33" s="5" t="s">
        <v>384</v>
      </c>
      <c r="D33" s="5" t="s">
        <v>1</v>
      </c>
      <c r="E33" s="10">
        <f t="shared" si="0"/>
        <v>3.6646998491704372E-5</v>
      </c>
      <c r="F33" s="5" t="s">
        <v>385</v>
      </c>
      <c r="G33" s="5" t="s">
        <v>386</v>
      </c>
      <c r="H33" s="5" t="s">
        <v>387</v>
      </c>
      <c r="I33" s="5" t="s">
        <v>388</v>
      </c>
      <c r="J33" s="5" t="s">
        <v>1</v>
      </c>
      <c r="K33" s="5" t="s">
        <v>9</v>
      </c>
      <c r="L33" s="10"/>
      <c r="M33" s="15">
        <v>0.45</v>
      </c>
      <c r="N33" s="15">
        <v>7.8E-2</v>
      </c>
      <c r="O33" s="10" t="s">
        <v>661</v>
      </c>
      <c r="P33" s="10"/>
      <c r="Q33" s="10"/>
      <c r="R33" s="10">
        <f t="shared" si="1"/>
        <v>0</v>
      </c>
      <c r="S33" s="10"/>
    </row>
    <row r="34" spans="1:19" ht="15">
      <c r="A34" s="5" t="s">
        <v>207</v>
      </c>
      <c r="B34" s="5" t="s">
        <v>397</v>
      </c>
      <c r="C34" s="5" t="s">
        <v>391</v>
      </c>
      <c r="D34" s="5" t="s">
        <v>9</v>
      </c>
      <c r="E34" s="10">
        <f t="shared" si="0"/>
        <v>2.2618069381598795E-3</v>
      </c>
      <c r="F34" s="5" t="s">
        <v>393</v>
      </c>
      <c r="G34" s="5" t="s">
        <v>398</v>
      </c>
      <c r="H34" s="5" t="s">
        <v>399</v>
      </c>
      <c r="I34" s="5" t="s">
        <v>262</v>
      </c>
      <c r="J34" s="5" t="s">
        <v>1</v>
      </c>
      <c r="K34" s="5" t="s">
        <v>9</v>
      </c>
      <c r="L34" s="10"/>
      <c r="M34" s="15">
        <v>1.74</v>
      </c>
      <c r="N34" s="15">
        <v>0.53</v>
      </c>
      <c r="O34" s="10" t="s">
        <v>661</v>
      </c>
      <c r="P34" s="10"/>
      <c r="Q34" s="10"/>
      <c r="R34" s="10">
        <f t="shared" si="1"/>
        <v>0</v>
      </c>
      <c r="S34" s="10"/>
    </row>
    <row r="35" spans="1:19" ht="15">
      <c r="A35" s="5" t="s">
        <v>213</v>
      </c>
      <c r="B35" s="5" t="s">
        <v>401</v>
      </c>
      <c r="C35" s="5" t="s">
        <v>402</v>
      </c>
      <c r="D35" s="5" t="s">
        <v>1</v>
      </c>
      <c r="E35" s="10">
        <f t="shared" si="0"/>
        <v>2.6721769733534446E-4</v>
      </c>
      <c r="F35" s="5" t="s">
        <v>255</v>
      </c>
      <c r="G35" s="5" t="s">
        <v>403</v>
      </c>
      <c r="H35" s="5" t="s">
        <v>404</v>
      </c>
      <c r="I35" s="5" t="s">
        <v>405</v>
      </c>
      <c r="J35" s="5" t="s">
        <v>9</v>
      </c>
      <c r="K35" s="5" t="s">
        <v>9</v>
      </c>
      <c r="L35" s="10"/>
      <c r="M35" s="15">
        <v>1.1000000000000001</v>
      </c>
      <c r="N35" s="10">
        <v>0.78</v>
      </c>
      <c r="O35" s="10" t="s">
        <v>661</v>
      </c>
      <c r="P35" s="10"/>
      <c r="Q35" s="10"/>
      <c r="R35" s="10">
        <f t="shared" si="1"/>
        <v>0</v>
      </c>
      <c r="S35" s="10"/>
    </row>
    <row r="36" spans="1:19" ht="15">
      <c r="A36" s="8" t="s">
        <v>87</v>
      </c>
      <c r="B36" s="8" t="s">
        <v>596</v>
      </c>
      <c r="C36" s="8" t="s">
        <v>585</v>
      </c>
      <c r="D36" s="8" t="s">
        <v>16</v>
      </c>
      <c r="E36" s="12">
        <f t="shared" si="0"/>
        <v>6.8713122171945706E-3</v>
      </c>
      <c r="F36" s="8" t="s">
        <v>261</v>
      </c>
      <c r="G36" s="8" t="s">
        <v>597</v>
      </c>
      <c r="H36" s="8" t="s">
        <v>598</v>
      </c>
      <c r="I36" s="8" t="s">
        <v>255</v>
      </c>
      <c r="J36" s="8" t="s">
        <v>9</v>
      </c>
      <c r="K36" s="8" t="s">
        <v>9</v>
      </c>
      <c r="L36" s="12">
        <v>0</v>
      </c>
      <c r="M36" s="12">
        <v>1.1000000000000001</v>
      </c>
      <c r="N36" s="12">
        <v>0.184</v>
      </c>
      <c r="O36" s="12" t="s">
        <v>661</v>
      </c>
      <c r="P36" s="12">
        <v>1.05</v>
      </c>
      <c r="Q36" s="12">
        <v>5897</v>
      </c>
      <c r="R36" s="12">
        <f t="shared" si="1"/>
        <v>201.07099533949446</v>
      </c>
    </row>
    <row r="37" spans="1:19" ht="15">
      <c r="A37" s="5" t="s">
        <v>225</v>
      </c>
      <c r="B37" s="5" t="s">
        <v>426</v>
      </c>
      <c r="C37" s="5" t="s">
        <v>427</v>
      </c>
      <c r="D37" s="5" t="s">
        <v>9</v>
      </c>
      <c r="E37" s="10">
        <f t="shared" ref="E37:E59" si="2">F37*1.8982/1000/1.989</f>
        <v>8.3028355957767716E-5</v>
      </c>
      <c r="F37" s="5" t="s">
        <v>428</v>
      </c>
      <c r="G37" s="5" t="s">
        <v>429</v>
      </c>
      <c r="H37" s="5" t="s">
        <v>430</v>
      </c>
      <c r="I37" s="5" t="s">
        <v>262</v>
      </c>
      <c r="J37" s="5" t="s">
        <v>9</v>
      </c>
      <c r="K37" s="5" t="s">
        <v>9</v>
      </c>
      <c r="L37" s="10"/>
      <c r="M37" s="15">
        <v>1</v>
      </c>
      <c r="N37" s="10">
        <v>0.83</v>
      </c>
      <c r="O37" s="10"/>
      <c r="P37" s="10"/>
      <c r="Q37" s="10"/>
      <c r="R37" s="10"/>
    </row>
    <row r="38" spans="1:19" ht="15">
      <c r="A38" s="5" t="s">
        <v>231</v>
      </c>
      <c r="B38" s="5" t="s">
        <v>432</v>
      </c>
      <c r="C38" s="5" t="s">
        <v>427</v>
      </c>
      <c r="D38" s="5" t="s">
        <v>9</v>
      </c>
      <c r="E38" s="10">
        <f t="shared" si="2"/>
        <v>3.4261126194067368E-4</v>
      </c>
      <c r="F38" s="5" t="s">
        <v>433</v>
      </c>
      <c r="G38" s="5" t="s">
        <v>88</v>
      </c>
      <c r="H38" s="5" t="s">
        <v>434</v>
      </c>
      <c r="I38" s="5" t="s">
        <v>435</v>
      </c>
      <c r="J38" s="5" t="s">
        <v>9</v>
      </c>
      <c r="K38" s="5" t="s">
        <v>9</v>
      </c>
      <c r="L38" s="10"/>
      <c r="M38" s="15">
        <v>1</v>
      </c>
      <c r="N38" s="10">
        <v>0.83</v>
      </c>
      <c r="O38" s="10"/>
      <c r="P38" s="10"/>
      <c r="Q38" s="10"/>
      <c r="R38" s="10"/>
    </row>
    <row r="39" spans="1:19" ht="15">
      <c r="A39" s="5" t="s">
        <v>238</v>
      </c>
      <c r="B39" s="5" t="s">
        <v>647</v>
      </c>
      <c r="C39" s="5">
        <v>750</v>
      </c>
      <c r="D39" s="5">
        <v>4</v>
      </c>
      <c r="E39" s="10">
        <f t="shared" si="2"/>
        <v>5.9169632981397686E-4</v>
      </c>
      <c r="F39" s="5">
        <v>0.62</v>
      </c>
      <c r="G39" s="5">
        <v>5.8999999999999997E-2</v>
      </c>
      <c r="H39" s="5">
        <v>4.6170999999999998</v>
      </c>
      <c r="I39" s="5">
        <v>1.2999999999999999E-2</v>
      </c>
      <c r="J39" s="5" t="s">
        <v>9</v>
      </c>
      <c r="K39" s="5" t="s">
        <v>9</v>
      </c>
      <c r="L39" s="10"/>
      <c r="M39" s="15">
        <v>1.27</v>
      </c>
      <c r="N39" s="15">
        <v>0.19</v>
      </c>
      <c r="O39" s="10" t="s">
        <v>661</v>
      </c>
      <c r="P39" s="10"/>
      <c r="Q39" s="10"/>
      <c r="R39" s="10"/>
    </row>
    <row r="40" spans="1:19" ht="15">
      <c r="A40" s="5" t="s">
        <v>244</v>
      </c>
      <c r="B40" s="5" t="s">
        <v>437</v>
      </c>
      <c r="C40" s="5" t="s">
        <v>438</v>
      </c>
      <c r="D40" s="5" t="s">
        <v>22</v>
      </c>
      <c r="E40" s="10">
        <f t="shared" si="2"/>
        <v>1.7178280542986426E-3</v>
      </c>
      <c r="F40" s="5" t="s">
        <v>125</v>
      </c>
      <c r="G40" s="5" t="s">
        <v>439</v>
      </c>
      <c r="H40" s="5" t="s">
        <v>440</v>
      </c>
      <c r="I40" s="5" t="s">
        <v>127</v>
      </c>
      <c r="J40" s="5" t="s">
        <v>9</v>
      </c>
      <c r="K40" s="5" t="s">
        <v>9</v>
      </c>
      <c r="L40" s="10"/>
      <c r="M40" s="15">
        <v>1.27</v>
      </c>
      <c r="N40" s="15">
        <v>0.19</v>
      </c>
      <c r="O40" s="10" t="s">
        <v>661</v>
      </c>
      <c r="P40" s="10"/>
      <c r="Q40" s="10"/>
      <c r="R40" s="10"/>
    </row>
    <row r="41" spans="1:19" ht="15">
      <c r="A41" s="5" t="s">
        <v>250</v>
      </c>
      <c r="B41" s="5" t="s">
        <v>454</v>
      </c>
      <c r="C41" s="5" t="s">
        <v>455</v>
      </c>
      <c r="D41" s="5" t="s">
        <v>1</v>
      </c>
      <c r="E41" s="10">
        <f t="shared" si="2"/>
        <v>4.4854399195575666E-4</v>
      </c>
      <c r="F41" s="5" t="s">
        <v>331</v>
      </c>
      <c r="G41" s="5" t="s">
        <v>71</v>
      </c>
      <c r="H41" s="5" t="s">
        <v>456</v>
      </c>
      <c r="I41" s="5" t="s">
        <v>457</v>
      </c>
      <c r="J41" s="5" t="s">
        <v>9</v>
      </c>
      <c r="K41" s="5" t="s">
        <v>9</v>
      </c>
      <c r="L41" s="10"/>
      <c r="M41" s="15">
        <v>1.05</v>
      </c>
      <c r="N41" s="15">
        <v>0.14000000000000001</v>
      </c>
      <c r="O41" s="10" t="s">
        <v>661</v>
      </c>
      <c r="P41" s="10"/>
      <c r="Q41" s="10"/>
      <c r="R41" s="10"/>
    </row>
    <row r="42" spans="1:19" ht="15">
      <c r="A42" s="5" t="s">
        <v>256</v>
      </c>
      <c r="B42" s="5" t="s">
        <v>464</v>
      </c>
      <c r="C42" s="5" t="s">
        <v>465</v>
      </c>
      <c r="D42" s="5" t="s">
        <v>1</v>
      </c>
      <c r="E42" s="10">
        <f t="shared" si="2"/>
        <v>7.4152911010558079E-5</v>
      </c>
      <c r="F42" s="5" t="s">
        <v>466</v>
      </c>
      <c r="G42" s="5" t="s">
        <v>467</v>
      </c>
      <c r="H42" s="5" t="s">
        <v>468</v>
      </c>
      <c r="I42" s="5" t="s">
        <v>405</v>
      </c>
      <c r="J42" s="5" t="s">
        <v>9</v>
      </c>
      <c r="K42" s="5" t="s">
        <v>9</v>
      </c>
      <c r="L42" s="10"/>
      <c r="M42" s="15">
        <v>0.57999999999999996</v>
      </c>
      <c r="N42" s="15">
        <v>0.4</v>
      </c>
      <c r="O42" s="10"/>
      <c r="P42" s="10"/>
      <c r="Q42" s="10"/>
      <c r="R42" s="10"/>
    </row>
    <row r="43" spans="1:19" ht="15">
      <c r="A43" s="5" t="s">
        <v>263</v>
      </c>
      <c r="B43" s="5" t="s">
        <v>480</v>
      </c>
      <c r="C43" s="5" t="s">
        <v>471</v>
      </c>
      <c r="D43" s="5" t="s">
        <v>22</v>
      </c>
      <c r="E43" s="10">
        <f t="shared" si="2"/>
        <v>1.336088486676722E-5</v>
      </c>
      <c r="F43" s="5" t="s">
        <v>183</v>
      </c>
      <c r="G43" s="5" t="s">
        <v>481</v>
      </c>
      <c r="H43" s="5" t="s">
        <v>482</v>
      </c>
      <c r="I43" s="5" t="s">
        <v>137</v>
      </c>
      <c r="J43" s="5" t="s">
        <v>9</v>
      </c>
      <c r="K43" s="5" t="s">
        <v>9</v>
      </c>
      <c r="L43" s="10"/>
      <c r="M43" s="15">
        <v>0.71</v>
      </c>
      <c r="N43" s="15">
        <v>0.17</v>
      </c>
      <c r="O43" s="10" t="s">
        <v>661</v>
      </c>
      <c r="P43" s="10"/>
      <c r="Q43" s="10"/>
      <c r="R43" s="10"/>
    </row>
    <row r="44" spans="1:19" ht="15">
      <c r="A44" s="5" t="s">
        <v>269</v>
      </c>
      <c r="B44" s="5" t="s">
        <v>484</v>
      </c>
      <c r="C44" s="5" t="s">
        <v>471</v>
      </c>
      <c r="D44" s="5" t="s">
        <v>22</v>
      </c>
      <c r="E44" s="10">
        <f t="shared" si="2"/>
        <v>3.435656108597285E-5</v>
      </c>
      <c r="F44" s="5" t="s">
        <v>228</v>
      </c>
      <c r="G44" s="5" t="s">
        <v>485</v>
      </c>
      <c r="H44" s="5" t="s">
        <v>486</v>
      </c>
      <c r="I44" s="5" t="s">
        <v>127</v>
      </c>
      <c r="J44" s="5" t="s">
        <v>9</v>
      </c>
      <c r="K44" s="5" t="s">
        <v>9</v>
      </c>
      <c r="L44" s="10"/>
      <c r="M44" s="15">
        <v>0.71</v>
      </c>
      <c r="N44" s="15">
        <v>0.17</v>
      </c>
      <c r="O44" s="10" t="s">
        <v>661</v>
      </c>
      <c r="P44" s="10"/>
      <c r="Q44" s="10"/>
      <c r="R44" s="10"/>
    </row>
    <row r="45" spans="1:19" ht="15">
      <c r="A45" s="5" t="s">
        <v>275</v>
      </c>
      <c r="B45" s="5" t="s">
        <v>495</v>
      </c>
      <c r="C45" s="5" t="s">
        <v>496</v>
      </c>
      <c r="D45" s="5" t="s">
        <v>29</v>
      </c>
      <c r="E45" s="10">
        <f t="shared" si="2"/>
        <v>7.6347913524384115E-4</v>
      </c>
      <c r="F45" s="5" t="s">
        <v>497</v>
      </c>
      <c r="G45" s="5" t="s">
        <v>498</v>
      </c>
      <c r="H45" s="5" t="s">
        <v>499</v>
      </c>
      <c r="I45" s="5" t="s">
        <v>271</v>
      </c>
      <c r="J45" s="5" t="s">
        <v>9</v>
      </c>
      <c r="K45" s="5" t="s">
        <v>9</v>
      </c>
      <c r="L45" s="10"/>
      <c r="M45" s="15">
        <v>0.95</v>
      </c>
      <c r="N45" s="15">
        <v>0.13</v>
      </c>
      <c r="O45" s="10" t="s">
        <v>661</v>
      </c>
      <c r="P45" s="10"/>
      <c r="Q45" s="10"/>
      <c r="R45" s="10"/>
    </row>
    <row r="46" spans="1:19" ht="15">
      <c r="A46" s="5" t="s">
        <v>280</v>
      </c>
      <c r="B46" s="5" t="s">
        <v>501</v>
      </c>
      <c r="C46" s="5" t="s">
        <v>496</v>
      </c>
      <c r="D46" s="5" t="s">
        <v>29</v>
      </c>
      <c r="E46" s="10">
        <f t="shared" si="2"/>
        <v>1.6128496732026144E-4</v>
      </c>
      <c r="F46" s="5" t="s">
        <v>502</v>
      </c>
      <c r="G46" s="5" t="s">
        <v>503</v>
      </c>
      <c r="H46" s="5" t="s">
        <v>504</v>
      </c>
      <c r="I46" s="5" t="s">
        <v>505</v>
      </c>
      <c r="J46" s="5" t="s">
        <v>9</v>
      </c>
      <c r="K46" s="5" t="s">
        <v>9</v>
      </c>
      <c r="L46" s="10"/>
      <c r="M46" s="15">
        <v>0.95</v>
      </c>
      <c r="N46" s="15">
        <v>0.13</v>
      </c>
      <c r="O46" s="10" t="s">
        <v>661</v>
      </c>
      <c r="P46" s="10"/>
      <c r="Q46" s="10"/>
      <c r="R46" s="10"/>
    </row>
    <row r="47" spans="1:19" ht="15">
      <c r="A47" s="5" t="s">
        <v>284</v>
      </c>
      <c r="B47" s="5" t="s">
        <v>513</v>
      </c>
      <c r="C47" s="5" t="s">
        <v>496</v>
      </c>
      <c r="D47" s="5" t="s">
        <v>29</v>
      </c>
      <c r="E47" s="10">
        <f t="shared" si="2"/>
        <v>1.374262443438914E-4</v>
      </c>
      <c r="F47" s="5" t="s">
        <v>514</v>
      </c>
      <c r="G47" s="5" t="s">
        <v>515</v>
      </c>
      <c r="H47" s="5" t="s">
        <v>516</v>
      </c>
      <c r="I47" s="5" t="s">
        <v>517</v>
      </c>
      <c r="J47" s="5" t="s">
        <v>9</v>
      </c>
      <c r="K47" s="5" t="s">
        <v>9</v>
      </c>
      <c r="L47" s="10"/>
      <c r="M47" s="15">
        <v>0.95</v>
      </c>
      <c r="N47" s="15">
        <v>0.13</v>
      </c>
      <c r="O47" s="10" t="s">
        <v>661</v>
      </c>
      <c r="P47" s="10"/>
      <c r="Q47" s="10"/>
      <c r="R47" s="10"/>
    </row>
    <row r="48" spans="1:19" ht="15">
      <c r="A48" s="5" t="s">
        <v>290</v>
      </c>
      <c r="B48" s="5" t="s">
        <v>530</v>
      </c>
      <c r="C48" s="5" t="s">
        <v>525</v>
      </c>
      <c r="D48" s="5" t="s">
        <v>9</v>
      </c>
      <c r="E48" s="10">
        <f t="shared" si="2"/>
        <v>7.5393564605329301E-5</v>
      </c>
      <c r="F48" s="5" t="s">
        <v>531</v>
      </c>
      <c r="G48" s="5" t="s">
        <v>532</v>
      </c>
      <c r="H48" s="5" t="s">
        <v>533</v>
      </c>
      <c r="I48" s="5" t="s">
        <v>219</v>
      </c>
      <c r="J48" s="5" t="s">
        <v>9</v>
      </c>
      <c r="K48" s="5" t="s">
        <v>9</v>
      </c>
      <c r="L48" s="10"/>
      <c r="M48" s="15">
        <v>1.08</v>
      </c>
      <c r="N48" s="15">
        <v>0.67</v>
      </c>
      <c r="O48" s="10" t="s">
        <v>661</v>
      </c>
      <c r="P48" s="10"/>
      <c r="Q48" s="10"/>
      <c r="R48" s="10"/>
    </row>
    <row r="49" spans="1:18" ht="15">
      <c r="A49" s="5" t="s">
        <v>296</v>
      </c>
      <c r="B49" s="5" t="s">
        <v>535</v>
      </c>
      <c r="C49" s="5" t="s">
        <v>536</v>
      </c>
      <c r="D49" s="5" t="s">
        <v>1</v>
      </c>
      <c r="E49" s="10">
        <f t="shared" si="2"/>
        <v>2.8630467571644035E-4</v>
      </c>
      <c r="F49" s="5" t="s">
        <v>219</v>
      </c>
      <c r="G49" s="5" t="s">
        <v>537</v>
      </c>
      <c r="H49" s="5" t="s">
        <v>538</v>
      </c>
      <c r="I49" s="5" t="s">
        <v>69</v>
      </c>
      <c r="J49" s="5" t="s">
        <v>9</v>
      </c>
      <c r="K49" s="5" t="s">
        <v>9</v>
      </c>
      <c r="L49" s="10"/>
      <c r="M49" s="15">
        <v>0.86</v>
      </c>
      <c r="N49" s="15">
        <v>0.63</v>
      </c>
      <c r="O49" s="10" t="s">
        <v>661</v>
      </c>
      <c r="P49" s="10"/>
      <c r="Q49" s="10"/>
      <c r="R49" s="10"/>
    </row>
    <row r="50" spans="1:18" ht="15">
      <c r="A50" s="5" t="s">
        <v>301</v>
      </c>
      <c r="B50" s="5" t="s">
        <v>540</v>
      </c>
      <c r="C50" s="5" t="s">
        <v>541</v>
      </c>
      <c r="D50" s="5" t="s">
        <v>1</v>
      </c>
      <c r="E50" s="10">
        <f t="shared" si="2"/>
        <v>3.0539165409753646E-3</v>
      </c>
      <c r="F50" s="5" t="s">
        <v>542</v>
      </c>
      <c r="G50" s="5" t="s">
        <v>543</v>
      </c>
      <c r="H50" s="5" t="s">
        <v>544</v>
      </c>
      <c r="I50" s="5" t="s">
        <v>274</v>
      </c>
      <c r="J50" s="5" t="s">
        <v>9</v>
      </c>
      <c r="K50" s="5" t="s">
        <v>16</v>
      </c>
      <c r="L50" s="10"/>
      <c r="M50" s="10"/>
      <c r="N50" s="10"/>
      <c r="O50" s="10"/>
      <c r="P50" s="10"/>
      <c r="Q50" s="10"/>
      <c r="R50" s="10"/>
    </row>
    <row r="51" spans="1:18" ht="15">
      <c r="A51" s="5" t="s">
        <v>308</v>
      </c>
      <c r="B51" s="5" t="s">
        <v>546</v>
      </c>
      <c r="C51" s="5" t="s">
        <v>547</v>
      </c>
      <c r="D51" s="5" t="s">
        <v>9</v>
      </c>
      <c r="E51" s="10">
        <f t="shared" si="2"/>
        <v>6.8713122171945706E-3</v>
      </c>
      <c r="F51" s="5" t="s">
        <v>261</v>
      </c>
      <c r="G51" s="5" t="s">
        <v>548</v>
      </c>
      <c r="H51" s="5" t="s">
        <v>549</v>
      </c>
      <c r="I51" s="5" t="s">
        <v>543</v>
      </c>
      <c r="J51" s="5" t="s">
        <v>9</v>
      </c>
      <c r="K51" s="5" t="s">
        <v>9</v>
      </c>
      <c r="L51" s="10"/>
      <c r="M51" s="15">
        <v>1.4</v>
      </c>
      <c r="N51" s="15">
        <v>0.08</v>
      </c>
      <c r="O51" s="10" t="s">
        <v>661</v>
      </c>
      <c r="P51" s="10"/>
      <c r="Q51" s="10"/>
      <c r="R51" s="10"/>
    </row>
    <row r="52" spans="1:18" ht="15">
      <c r="A52" s="5" t="s">
        <v>315</v>
      </c>
      <c r="B52" s="5" t="s">
        <v>550</v>
      </c>
      <c r="C52" s="5" t="s">
        <v>547</v>
      </c>
      <c r="D52" s="5" t="s">
        <v>9</v>
      </c>
      <c r="E52" s="10">
        <f t="shared" si="2"/>
        <v>3.0539165409753646E-3</v>
      </c>
      <c r="F52" s="5" t="s">
        <v>542</v>
      </c>
      <c r="G52" s="5" t="s">
        <v>551</v>
      </c>
      <c r="H52" s="5" t="s">
        <v>552</v>
      </c>
      <c r="I52" s="5" t="s">
        <v>64</v>
      </c>
      <c r="J52" s="5" t="s">
        <v>9</v>
      </c>
      <c r="K52" s="5" t="s">
        <v>9</v>
      </c>
      <c r="L52" s="10"/>
      <c r="M52" s="15">
        <v>1.4</v>
      </c>
      <c r="N52" s="15">
        <v>0.08</v>
      </c>
      <c r="O52" s="10" t="s">
        <v>661</v>
      </c>
      <c r="P52" s="10"/>
      <c r="Q52" s="10"/>
      <c r="R52" s="10"/>
    </row>
    <row r="53" spans="1:18" ht="15">
      <c r="A53" s="5" t="s">
        <v>321</v>
      </c>
      <c r="B53" s="5" t="s">
        <v>561</v>
      </c>
      <c r="C53" s="5" t="s">
        <v>555</v>
      </c>
      <c r="D53" s="5" t="s">
        <v>9</v>
      </c>
      <c r="E53" s="10">
        <f t="shared" si="2"/>
        <v>5.4397888386123679E-5</v>
      </c>
      <c r="F53" s="5" t="s">
        <v>562</v>
      </c>
      <c r="G53" s="5" t="s">
        <v>563</v>
      </c>
      <c r="H53" s="5" t="s">
        <v>564</v>
      </c>
      <c r="I53" s="5" t="s">
        <v>405</v>
      </c>
      <c r="J53" s="5" t="s">
        <v>9</v>
      </c>
      <c r="K53" s="5" t="s">
        <v>9</v>
      </c>
      <c r="L53" s="10"/>
      <c r="M53" s="15">
        <v>1.04</v>
      </c>
      <c r="N53" s="15">
        <v>0.2</v>
      </c>
      <c r="O53" s="10" t="s">
        <v>661</v>
      </c>
      <c r="P53" s="10"/>
      <c r="Q53" s="10"/>
      <c r="R53" s="10"/>
    </row>
    <row r="54" spans="1:18" ht="15">
      <c r="A54" s="5" t="s">
        <v>327</v>
      </c>
      <c r="B54" s="5" t="s">
        <v>573</v>
      </c>
      <c r="C54" s="5" t="s">
        <v>574</v>
      </c>
      <c r="D54" s="5" t="s">
        <v>9</v>
      </c>
      <c r="E54" s="10">
        <f t="shared" si="2"/>
        <v>2.4717637003519356E-4</v>
      </c>
      <c r="F54" s="5" t="s">
        <v>575</v>
      </c>
      <c r="G54" s="5" t="s">
        <v>576</v>
      </c>
      <c r="H54" s="5" t="s">
        <v>577</v>
      </c>
      <c r="I54" s="5" t="s">
        <v>578</v>
      </c>
      <c r="J54" s="5" t="s">
        <v>9</v>
      </c>
      <c r="K54" s="5" t="s">
        <v>9</v>
      </c>
      <c r="L54" s="10"/>
      <c r="M54" s="15">
        <v>0.98</v>
      </c>
      <c r="N54" s="15">
        <v>0.98</v>
      </c>
      <c r="O54" s="10" t="s">
        <v>663</v>
      </c>
      <c r="P54" s="10"/>
      <c r="Q54" s="10"/>
      <c r="R54" s="10"/>
    </row>
    <row r="55" spans="1:18" ht="15">
      <c r="A55" s="5" t="s">
        <v>332</v>
      </c>
      <c r="B55" s="5" t="s">
        <v>580</v>
      </c>
      <c r="C55" s="5" t="s">
        <v>574</v>
      </c>
      <c r="D55" s="5" t="s">
        <v>9</v>
      </c>
      <c r="E55" s="10">
        <f t="shared" si="2"/>
        <v>1.3074580191050783E-3</v>
      </c>
      <c r="F55" s="5" t="s">
        <v>242</v>
      </c>
      <c r="G55" s="5" t="s">
        <v>581</v>
      </c>
      <c r="H55" s="5" t="s">
        <v>392</v>
      </c>
      <c r="I55" s="5" t="s">
        <v>582</v>
      </c>
      <c r="J55" s="5" t="s">
        <v>9</v>
      </c>
      <c r="K55" s="5" t="s">
        <v>9</v>
      </c>
      <c r="L55" s="10"/>
      <c r="M55" s="15">
        <v>0.98</v>
      </c>
      <c r="N55" s="15">
        <v>0.98</v>
      </c>
      <c r="O55" s="10" t="s">
        <v>663</v>
      </c>
      <c r="P55" s="10"/>
      <c r="Q55" s="10"/>
      <c r="R55" s="10"/>
    </row>
    <row r="56" spans="1:18" ht="15">
      <c r="A56" s="5" t="s">
        <v>338</v>
      </c>
      <c r="B56" s="5" t="s">
        <v>593</v>
      </c>
      <c r="C56" s="5" t="s">
        <v>585</v>
      </c>
      <c r="D56" s="5" t="s">
        <v>16</v>
      </c>
      <c r="E56" s="10">
        <f t="shared" si="2"/>
        <v>5.5352237305178486E-5</v>
      </c>
      <c r="F56" s="5" t="s">
        <v>57</v>
      </c>
      <c r="G56" s="5" t="s">
        <v>15</v>
      </c>
      <c r="H56" s="5" t="s">
        <v>594</v>
      </c>
      <c r="I56" s="5" t="s">
        <v>119</v>
      </c>
      <c r="J56" s="5" t="s">
        <v>9</v>
      </c>
      <c r="K56" s="5" t="s">
        <v>9</v>
      </c>
      <c r="L56" s="10"/>
      <c r="M56" s="10"/>
      <c r="N56" s="10"/>
      <c r="O56" s="10"/>
      <c r="P56" s="10"/>
      <c r="Q56" s="10"/>
      <c r="R56" s="10"/>
    </row>
    <row r="57" spans="1:18" ht="15">
      <c r="A57" s="5" t="s">
        <v>344</v>
      </c>
      <c r="B57" s="5" t="s">
        <v>605</v>
      </c>
      <c r="C57" s="5" t="s">
        <v>606</v>
      </c>
      <c r="D57" s="5" t="s">
        <v>1</v>
      </c>
      <c r="E57" s="10">
        <f t="shared" si="2"/>
        <v>3.1302644544997488E-3</v>
      </c>
      <c r="F57" s="5" t="s">
        <v>607</v>
      </c>
      <c r="G57" s="5" t="s">
        <v>608</v>
      </c>
      <c r="H57" s="5" t="s">
        <v>609</v>
      </c>
      <c r="I57" s="5" t="s">
        <v>610</v>
      </c>
      <c r="J57" s="5" t="s">
        <v>9</v>
      </c>
      <c r="K57" s="5" t="s">
        <v>16</v>
      </c>
      <c r="L57" s="10"/>
      <c r="M57" s="15">
        <v>1.1000000000000001</v>
      </c>
      <c r="N57" s="15">
        <v>0.184</v>
      </c>
      <c r="O57" s="10" t="s">
        <v>661</v>
      </c>
      <c r="P57" s="10"/>
      <c r="Q57" s="10"/>
      <c r="R57" s="10"/>
    </row>
    <row r="58" spans="1:18" ht="15">
      <c r="A58" s="5" t="s">
        <v>350</v>
      </c>
      <c r="B58" s="5" t="s">
        <v>612</v>
      </c>
      <c r="C58" s="5" t="s">
        <v>613</v>
      </c>
      <c r="D58" s="5" t="s">
        <v>9</v>
      </c>
      <c r="E58" s="10">
        <f t="shared" si="2"/>
        <v>2.8630467571644045E-6</v>
      </c>
      <c r="F58" s="5" t="s">
        <v>614</v>
      </c>
      <c r="G58" s="5" t="s">
        <v>615</v>
      </c>
      <c r="H58" s="5" t="s">
        <v>616</v>
      </c>
      <c r="I58" s="5" t="s">
        <v>517</v>
      </c>
      <c r="J58" s="5" t="s">
        <v>9</v>
      </c>
      <c r="K58" s="5" t="s">
        <v>16</v>
      </c>
      <c r="L58" s="10"/>
      <c r="M58" s="10"/>
      <c r="N58" s="10"/>
      <c r="O58" s="10"/>
      <c r="P58" s="10"/>
      <c r="Q58" s="10"/>
      <c r="R58" s="10"/>
    </row>
    <row r="59" spans="1:18" ht="15">
      <c r="A59" s="5" t="s">
        <v>357</v>
      </c>
      <c r="B59" s="5" t="s">
        <v>639</v>
      </c>
      <c r="C59" s="5" t="s">
        <v>634</v>
      </c>
      <c r="D59" s="5" t="s">
        <v>9</v>
      </c>
      <c r="E59" s="10">
        <f t="shared" si="2"/>
        <v>8.3028355957767718E-4</v>
      </c>
      <c r="F59" s="5" t="s">
        <v>640</v>
      </c>
      <c r="G59" s="5" t="s">
        <v>641</v>
      </c>
      <c r="H59" s="5" t="s">
        <v>642</v>
      </c>
      <c r="I59" s="5" t="s">
        <v>610</v>
      </c>
      <c r="J59" s="5" t="s">
        <v>9</v>
      </c>
      <c r="K59" s="5" t="s">
        <v>9</v>
      </c>
      <c r="L59" s="10"/>
      <c r="M59" s="15">
        <v>1.48</v>
      </c>
      <c r="N59" s="15">
        <v>0.3</v>
      </c>
      <c r="O59" s="10" t="s">
        <v>661</v>
      </c>
      <c r="P59" s="10"/>
      <c r="Q59" s="10"/>
      <c r="R59" s="10"/>
    </row>
    <row r="60" spans="1:18">
      <c r="A60" s="1"/>
    </row>
    <row r="61" spans="1:18">
      <c r="A61" s="1"/>
    </row>
    <row r="62" spans="1:18">
      <c r="A62" s="1"/>
    </row>
    <row r="63" spans="1:18">
      <c r="A63" s="1"/>
    </row>
    <row r="64" spans="1:18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358B5-B19A-4D49-9A40-7B2B43F103D7}">
  <dimension ref="A1:R5"/>
  <sheetViews>
    <sheetView tabSelected="1" zoomScale="116" workbookViewId="0">
      <selection activeCell="M4" sqref="M4"/>
    </sheetView>
  </sheetViews>
  <sheetFormatPr baseColWidth="10" defaultRowHeight="14"/>
  <sheetData>
    <row r="1" spans="1:18" ht="30">
      <c r="A1" s="5" t="s">
        <v>643</v>
      </c>
      <c r="B1" s="5" t="s">
        <v>644</v>
      </c>
      <c r="C1" s="5" t="s">
        <v>645</v>
      </c>
      <c r="D1" s="5" t="s">
        <v>646</v>
      </c>
      <c r="E1" s="6" t="s">
        <v>648</v>
      </c>
      <c r="F1" s="6" t="s">
        <v>649</v>
      </c>
      <c r="G1" s="5" t="s">
        <v>650</v>
      </c>
      <c r="H1" s="5" t="s">
        <v>651</v>
      </c>
      <c r="I1" s="5" t="s">
        <v>652</v>
      </c>
      <c r="J1" s="5" t="s">
        <v>0</v>
      </c>
      <c r="K1" s="5" t="s">
        <v>653</v>
      </c>
      <c r="L1" s="6" t="s">
        <v>657</v>
      </c>
      <c r="M1" s="6" t="s">
        <v>654</v>
      </c>
      <c r="N1" s="6" t="s">
        <v>655</v>
      </c>
      <c r="O1" s="9" t="s">
        <v>656</v>
      </c>
      <c r="P1" s="7" t="s">
        <v>665</v>
      </c>
      <c r="Q1" s="7" t="s">
        <v>664</v>
      </c>
      <c r="R1" s="7" t="s">
        <v>666</v>
      </c>
    </row>
    <row r="2" spans="1:18" ht="15">
      <c r="B2" s="8" t="s">
        <v>627</v>
      </c>
      <c r="C2" s="8" t="s">
        <v>628</v>
      </c>
      <c r="D2" s="8" t="s">
        <v>1</v>
      </c>
      <c r="E2" s="12">
        <f t="shared" ref="E2:E5" si="0">F2*1.8982/1000/1.989</f>
        <v>1.8132629462041228E-3</v>
      </c>
      <c r="F2" s="8" t="s">
        <v>234</v>
      </c>
      <c r="G2" s="8" t="s">
        <v>629</v>
      </c>
      <c r="H2" s="8" t="s">
        <v>630</v>
      </c>
      <c r="I2" s="8" t="s">
        <v>631</v>
      </c>
      <c r="J2" s="8" t="s">
        <v>9</v>
      </c>
      <c r="K2" s="8" t="s">
        <v>9</v>
      </c>
      <c r="L2" s="13">
        <v>0.24</v>
      </c>
      <c r="M2" s="13">
        <v>1</v>
      </c>
      <c r="N2" s="13">
        <v>0.84</v>
      </c>
      <c r="O2" s="13" t="s">
        <v>661</v>
      </c>
      <c r="P2" s="13">
        <v>1.1200000000000001</v>
      </c>
      <c r="Q2" s="12">
        <v>5782</v>
      </c>
      <c r="R2" s="12">
        <f t="shared" ref="R2:R5" si="1">Q2*SQRT(P2*695700/(G2*149597870.7))</f>
        <v>355.09009248095219</v>
      </c>
    </row>
    <row r="3" spans="1:18" ht="30">
      <c r="B3" s="8" t="s">
        <v>302</v>
      </c>
      <c r="C3" s="8" t="s">
        <v>303</v>
      </c>
      <c r="D3" s="8" t="s">
        <v>1</v>
      </c>
      <c r="E3" s="12">
        <f t="shared" si="0"/>
        <v>9.1712931121166411E-3</v>
      </c>
      <c r="F3" s="8" t="s">
        <v>304</v>
      </c>
      <c r="G3" s="8" t="s">
        <v>305</v>
      </c>
      <c r="H3" s="8" t="s">
        <v>306</v>
      </c>
      <c r="I3" s="8" t="s">
        <v>307</v>
      </c>
      <c r="J3" s="8" t="s">
        <v>1</v>
      </c>
      <c r="K3" s="8" t="s">
        <v>9</v>
      </c>
      <c r="L3" s="12">
        <v>0.42</v>
      </c>
      <c r="M3" s="12">
        <v>0.91</v>
      </c>
      <c r="N3" s="12">
        <v>0.88</v>
      </c>
      <c r="O3" s="12" t="s">
        <v>661</v>
      </c>
      <c r="P3" s="12">
        <v>1.62</v>
      </c>
      <c r="Q3" s="12">
        <v>5364</v>
      </c>
      <c r="R3" s="12">
        <f t="shared" si="1"/>
        <v>217.3142620025321</v>
      </c>
    </row>
    <row r="4" spans="1:18" ht="30">
      <c r="B4" s="8" t="s">
        <v>590</v>
      </c>
      <c r="C4" s="8" t="s">
        <v>585</v>
      </c>
      <c r="D4" s="8" t="s">
        <v>16</v>
      </c>
      <c r="E4" s="12">
        <f t="shared" si="0"/>
        <v>2.8630467571644043E-3</v>
      </c>
      <c r="F4" s="8" t="s">
        <v>16</v>
      </c>
      <c r="G4" s="8" t="s">
        <v>242</v>
      </c>
      <c r="H4" s="8" t="s">
        <v>591</v>
      </c>
      <c r="I4" s="8" t="s">
        <v>347</v>
      </c>
      <c r="J4" s="8" t="s">
        <v>9</v>
      </c>
      <c r="K4" s="8" t="s">
        <v>9</v>
      </c>
      <c r="L4" s="12">
        <v>0</v>
      </c>
      <c r="M4" s="12">
        <v>1.1000000000000001</v>
      </c>
      <c r="N4" s="12">
        <v>0.184</v>
      </c>
      <c r="O4" s="12" t="s">
        <v>661</v>
      </c>
      <c r="P4" s="12">
        <v>1.05</v>
      </c>
      <c r="Q4" s="12">
        <v>5897</v>
      </c>
      <c r="R4" s="12">
        <f t="shared" si="1"/>
        <v>352.05765298080451</v>
      </c>
    </row>
    <row r="5" spans="1:18" ht="30">
      <c r="B5" s="8" t="s">
        <v>596</v>
      </c>
      <c r="C5" s="8" t="s">
        <v>585</v>
      </c>
      <c r="D5" s="8" t="s">
        <v>16</v>
      </c>
      <c r="E5" s="12">
        <f t="shared" si="0"/>
        <v>6.8713122171945706E-3</v>
      </c>
      <c r="F5" s="8" t="s">
        <v>261</v>
      </c>
      <c r="G5" s="8" t="s">
        <v>597</v>
      </c>
      <c r="H5" s="8" t="s">
        <v>598</v>
      </c>
      <c r="I5" s="8" t="s">
        <v>255</v>
      </c>
      <c r="J5" s="8" t="s">
        <v>9</v>
      </c>
      <c r="K5" s="8" t="s">
        <v>9</v>
      </c>
      <c r="L5" s="12">
        <v>0</v>
      </c>
      <c r="M5" s="12">
        <v>1.1000000000000001</v>
      </c>
      <c r="N5" s="12">
        <v>0.184</v>
      </c>
      <c r="O5" s="12" t="s">
        <v>661</v>
      </c>
      <c r="P5" s="12">
        <v>1.05</v>
      </c>
      <c r="Q5" s="12">
        <v>5897</v>
      </c>
      <c r="R5" s="12">
        <f t="shared" si="1"/>
        <v>201.07099533949446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全部</vt:lpstr>
      <vt:lpstr>周期一年以内有数据行星的温度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intsig</dc:creator>
  <cp:lastModifiedBy>蔡 承霖</cp:lastModifiedBy>
  <dcterms:created xsi:type="dcterms:W3CDTF">2023-09-06T07:49:49Z</dcterms:created>
  <dcterms:modified xsi:type="dcterms:W3CDTF">2023-09-10T13:17:59Z</dcterms:modified>
</cp:coreProperties>
</file>